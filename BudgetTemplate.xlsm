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de_Projects\DesktopApps\BudgetTemplate\"/>
    </mc:Choice>
  </mc:AlternateContent>
  <xr:revisionPtr revIDLastSave="0" documentId="13_ncr:1_{9A9A8333-1A73-442F-87AA-C60E229F80EF}" xr6:coauthVersionLast="47" xr6:coauthVersionMax="47" xr10:uidLastSave="{00000000-0000-0000-0000-000000000000}"/>
  <bookViews>
    <workbookView xWindow="-120" yWindow="-120" windowWidth="38640" windowHeight="21120" activeTab="2" xr2:uid="{10A3E4FC-F393-4118-A66A-74FDA3D5938C}"/>
  </bookViews>
  <sheets>
    <sheet name="Dashboard" sheetId="11" r:id="rId1"/>
    <sheet name="Inputs" sheetId="2" r:id="rId2"/>
    <sheet name="Accounts" sheetId="7" r:id="rId3"/>
    <sheet name="2024" sheetId="6" r:id="rId4"/>
    <sheet name="2023" sheetId="10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" i="2" l="1"/>
  <c r="K5" i="2"/>
  <c r="I3" i="7"/>
  <c r="H3" i="7"/>
  <c r="G3" i="7"/>
  <c r="F3" i="7"/>
  <c r="E3" i="7"/>
  <c r="D3" i="7"/>
  <c r="J3" i="7" s="1"/>
  <c r="K3" i="7"/>
  <c r="C3" i="7"/>
  <c r="AV3" i="7"/>
  <c r="AP3" i="7"/>
  <c r="AK3" i="7"/>
  <c r="AF3" i="7"/>
  <c r="Z3" i="7"/>
  <c r="U3" i="7"/>
  <c r="P3" i="7"/>
</calcChain>
</file>

<file path=xl/sharedStrings.xml><?xml version="1.0" encoding="utf-8"?>
<sst xmlns="http://schemas.openxmlformats.org/spreadsheetml/2006/main" count="132" uniqueCount="94">
  <si>
    <t>Method</t>
  </si>
  <si>
    <t>User Inputs</t>
  </si>
  <si>
    <t>SW</t>
  </si>
  <si>
    <t>Chase</t>
  </si>
  <si>
    <t>Amex</t>
  </si>
  <si>
    <t>Last ID</t>
  </si>
  <si>
    <t>Category</t>
  </si>
  <si>
    <t>In-Rent</t>
  </si>
  <si>
    <t>Out-Rent</t>
  </si>
  <si>
    <t>In-Other</t>
  </si>
  <si>
    <t>In-Twitch</t>
  </si>
  <si>
    <t>In-Work</t>
  </si>
  <si>
    <t>In-Gifts</t>
  </si>
  <si>
    <t>In-Oil</t>
  </si>
  <si>
    <t>Out-Mortgage</t>
  </si>
  <si>
    <t>Type</t>
  </si>
  <si>
    <t>Credit</t>
  </si>
  <si>
    <t>Accounts</t>
  </si>
  <si>
    <t>Checking</t>
  </si>
  <si>
    <t>Savings</t>
  </si>
  <si>
    <t>Stocks</t>
  </si>
  <si>
    <t>Retirement</t>
  </si>
  <si>
    <t>Loans</t>
  </si>
  <si>
    <t>Deposit</t>
  </si>
  <si>
    <t>ID</t>
  </si>
  <si>
    <t>Date</t>
  </si>
  <si>
    <t>Cost</t>
  </si>
  <si>
    <t>Place</t>
  </si>
  <si>
    <t>Location</t>
  </si>
  <si>
    <t>Notes</t>
  </si>
  <si>
    <t>Out-Business</t>
  </si>
  <si>
    <t>Google Cloud</t>
  </si>
  <si>
    <t>Online</t>
  </si>
  <si>
    <t>Out-Entertainment</t>
  </si>
  <si>
    <t>Spotify</t>
  </si>
  <si>
    <t>Category Table</t>
  </si>
  <si>
    <t>Method Table</t>
  </si>
  <si>
    <t>Assets</t>
  </si>
  <si>
    <t>Useable Total</t>
  </si>
  <si>
    <t>Total</t>
  </si>
  <si>
    <t>2/21/2024</t>
  </si>
  <si>
    <t>Bank of America</t>
  </si>
  <si>
    <t>SubTotal</t>
  </si>
  <si>
    <t>BoA-Savings</t>
  </si>
  <si>
    <t>Chase-Savings</t>
  </si>
  <si>
    <t>MerrylLynch 401k</t>
  </si>
  <si>
    <t>Fidelity 401K</t>
  </si>
  <si>
    <t>Stocks/Betting</t>
  </si>
  <si>
    <t>Bovado</t>
  </si>
  <si>
    <t>RH-401K</t>
  </si>
  <si>
    <t>RobinHood</t>
  </si>
  <si>
    <t>NelNet</t>
  </si>
  <si>
    <t>GreatLakes</t>
  </si>
  <si>
    <t>House</t>
  </si>
  <si>
    <t>Farm</t>
  </si>
  <si>
    <t>Truck</t>
  </si>
  <si>
    <t>Snapshot Totals</t>
  </si>
  <si>
    <t>Net Worth</t>
  </si>
  <si>
    <t>Totals</t>
  </si>
  <si>
    <t>Per Year</t>
  </si>
  <si>
    <t>Per Month</t>
  </si>
  <si>
    <t>Data Table</t>
  </si>
  <si>
    <t>Month</t>
  </si>
  <si>
    <t>Year</t>
  </si>
  <si>
    <t>Item</t>
  </si>
  <si>
    <t>Kroger</t>
  </si>
  <si>
    <t>White House, TN</t>
  </si>
  <si>
    <t>Help</t>
  </si>
  <si>
    <t>Dashboard</t>
  </si>
  <si>
    <t>Add a Year sheet to the workbook</t>
  </si>
  <si>
    <t>Add, Search, Update, or Delete a cost entry</t>
  </si>
  <si>
    <t>[WIP] Add new account for the account sheet</t>
  </si>
  <si>
    <t>Hide columns for Data Tracking area</t>
  </si>
  <si>
    <t>Hide Columns for this help section</t>
  </si>
  <si>
    <t>[WIP] Add new row to account tables</t>
  </si>
  <si>
    <t>Out-Utilities</t>
  </si>
  <si>
    <t>Out-Insurance</t>
  </si>
  <si>
    <t>Out-Food</t>
  </si>
  <si>
    <t>Out-Groceries</t>
  </si>
  <si>
    <t>Out-Leisure</t>
  </si>
  <si>
    <t>Out-Vacation</t>
  </si>
  <si>
    <t>Out-Gas</t>
  </si>
  <si>
    <t>Out-Drinks</t>
  </si>
  <si>
    <t>Out-Loans</t>
  </si>
  <si>
    <t>Out-Home Improve</t>
  </si>
  <si>
    <t>Out-Gifts</t>
  </si>
  <si>
    <t>Out-Car</t>
  </si>
  <si>
    <t>Out-Misc</t>
  </si>
  <si>
    <t>Out-Gov</t>
  </si>
  <si>
    <t>Out-School</t>
  </si>
  <si>
    <t>Out-Health</t>
  </si>
  <si>
    <t>Value</t>
  </si>
  <si>
    <t>Apple</t>
  </si>
  <si>
    <t>Admin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</si>
</sst>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/mmm/yy;@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4" fontId="0" fillId="0" borderId="0" xfId="0" applyNumberFormat="1"/>
    <xf numFmtId="164" fontId="0" fillId="0" borderId="0" xfId="0" applyNumberFormat="1"/>
    <xf numFmtId="0" fontId="0" fillId="6" borderId="4" xfId="0" applyFill="1" applyBorder="1" applyAlignment="1">
      <alignment horizontal="center"/>
    </xf>
    <xf numFmtId="0" fontId="0" fillId="6" borderId="0" xfId="0" applyFill="1"/>
    <xf numFmtId="0" fontId="0" fillId="6" borderId="7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2" xfId="0" applyFill="1" applyBorder="1"/>
    <xf numFmtId="0" fontId="0" fillId="6" borderId="1" xfId="0" applyFill="1" applyBorder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5" borderId="3" xfId="0" applyFill="1" applyBorder="1" applyAlignment="1">
      <alignment horizontal="left" vertical="top" wrapText="1"/>
    </xf>
    <xf numFmtId="0" fontId="0" fillId="5" borderId="4" xfId="0" applyFill="1" applyBorder="1" applyAlignment="1">
      <alignment horizontal="left" vertical="top" wrapText="1"/>
    </xf>
    <xf numFmtId="0" fontId="0" fillId="5" borderId="5" xfId="0" applyFill="1" applyBorder="1" applyAlignment="1">
      <alignment horizontal="left" vertical="top" wrapText="1"/>
    </xf>
    <xf numFmtId="0" fontId="0" fillId="5" borderId="6" xfId="0" applyFill="1" applyBorder="1" applyAlignment="1">
      <alignment horizontal="left" vertical="top" wrapText="1"/>
    </xf>
    <xf numFmtId="0" fontId="0" fillId="5" borderId="7" xfId="0" applyFill="1" applyBorder="1" applyAlignment="1">
      <alignment horizontal="left" vertical="top" wrapText="1"/>
    </xf>
    <xf numFmtId="0" fontId="0" fillId="5" borderId="8" xfId="0" applyFill="1" applyBorder="1" applyAlignment="1">
      <alignment horizontal="left" vertical="top" wrapText="1"/>
    </xf>
    <xf numFmtId="0" fontId="0" fillId="2" borderId="9" xfId="0" applyFill="1" applyBorder="1" applyAlignment="1">
      <alignment horizontal="center" wrapText="1"/>
    </xf>
    <xf numFmtId="0" fontId="0" fillId="2" borderId="10" xfId="0" applyFill="1" applyBorder="1" applyAlignment="1">
      <alignment horizontal="center" wrapText="1"/>
    </xf>
    <xf numFmtId="0" fontId="0" fillId="2" borderId="11" xfId="0" applyFill="1" applyBorder="1" applyAlignment="1">
      <alignment horizontal="center" wrapText="1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5" borderId="0" xfId="0" applyFill="1"/>
    <xf numFmtId="0" fontId="0" fillId="0" borderId="0" xfId="0" applyFill="1"/>
  </cellXfs>
  <cellStyles count="1">
    <cellStyle name="Normal" xfId="0" builtinId="0"/>
  </cellStyles>
  <dxfs count="7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4" formatCode="#,##0.00"/>
    </dxf>
    <dxf>
      <numFmt numFmtId="164" formatCode="[$-409]d/mmm/yy;@"/>
    </dxf>
    <dxf>
      <numFmt numFmtId="4" formatCode="#,##0.00"/>
    </dxf>
    <dxf>
      <numFmt numFmtId="164" formatCode="[$-409]d/mmm/yy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2</xdr:row>
          <xdr:rowOff>9525</xdr:rowOff>
        </xdr:from>
        <xdr:to>
          <xdr:col>6</xdr:col>
          <xdr:colOff>600075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Cost Entry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19050</xdr:rowOff>
        </xdr:from>
        <xdr:to>
          <xdr:col>7</xdr:col>
          <xdr:colOff>9525</xdr:colOff>
          <xdr:row>6</xdr:row>
          <xdr:rowOff>171450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11</xdr:row>
          <xdr:rowOff>9525</xdr:rowOff>
        </xdr:from>
        <xdr:to>
          <xdr:col>7</xdr:col>
          <xdr:colOff>9525</xdr:colOff>
          <xdr:row>13</xdr:row>
          <xdr:rowOff>28575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Snapshot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8</xdr:row>
          <xdr:rowOff>9525</xdr:rowOff>
        </xdr:from>
        <xdr:to>
          <xdr:col>7</xdr:col>
          <xdr:colOff>9525</xdr:colOff>
          <xdr:row>10</xdr:row>
          <xdr:rowOff>19050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Account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14</xdr:row>
          <xdr:rowOff>0</xdr:rowOff>
        </xdr:from>
        <xdr:to>
          <xdr:col>7</xdr:col>
          <xdr:colOff>0</xdr:colOff>
          <xdr:row>16</xdr:row>
          <xdr:rowOff>9525</xdr:rowOff>
        </xdr:to>
        <xdr:sp macro="" textlink="">
          <xdr:nvSpPr>
            <xdr:cNvPr id="2056" name="AdminButton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Admin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16</xdr:row>
          <xdr:rowOff>180975</xdr:rowOff>
        </xdr:from>
        <xdr:to>
          <xdr:col>7</xdr:col>
          <xdr:colOff>9525</xdr:colOff>
          <xdr:row>18</xdr:row>
          <xdr:rowOff>161925</xdr:rowOff>
        </xdr:to>
        <xdr:sp macro="" textlink="">
          <xdr:nvSpPr>
            <xdr:cNvPr id="2057" name="HelpButton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Help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9D4C8BD-E396-4485-9AA0-6A3118B45A3A}" name="CategoryTable" displayName="CategoryTable" ref="M3:M28" totalsRowShown="0">
  <autoFilter ref="M3:M28" xr:uid="{59D4C8BD-E396-4485-9AA0-6A3118B45A3A}"/>
  <tableColumns count="1">
    <tableColumn id="1" xr3:uid="{BB6032D3-9DEC-475E-9D40-14519F290F18}" name="Category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815D4C-44B4-4CFF-A654-C409CE9B6073}" name="MethodTable" displayName="MethodTable" ref="O3:P8" totalsRowShown="0" dataDxfId="0">
  <autoFilter ref="O3:P8" xr:uid="{F7815D4C-44B4-4CFF-A654-C409CE9B6073}"/>
  <tableColumns count="2">
    <tableColumn id="1" xr3:uid="{FE2B00AA-63AB-4AD7-99AB-672B5E615D90}" name="Accounts" dataDxfId="2"/>
    <tableColumn id="2" xr3:uid="{A60D1F01-69E2-422B-A97F-7A877342E24C}" name="Type" dataDxfId="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B627170-FEDB-4861-BCDD-5FCFC141325C}" name="DataTable" displayName="DataTable" ref="J3:K6" totalsRowShown="0">
  <autoFilter ref="J3:K6" xr:uid="{7B627170-FEDB-4861-BCDD-5FCFC141325C}"/>
  <tableColumns count="2">
    <tableColumn id="1" xr3:uid="{8F0379C7-DE1E-4661-9F99-C9AC0C54FBAD}" name="Item"/>
    <tableColumn id="2" xr3:uid="{044D6FCD-461F-4E6F-81C4-DC62D0465390}" name="Value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1F2FA5-62C5-4AD1-9020-8C132DF306DA}" name="TotalsTable" displayName="TotalsTable" ref="A2:K3" totalsRowShown="0">
  <autoFilter ref="A2:K3" xr:uid="{F61F2FA5-62C5-4AD1-9020-8C132DF306DA}"/>
  <tableColumns count="11">
    <tableColumn id="1" xr3:uid="{BDCD6CF5-6571-4650-81FB-B8764C6A27D2}" name="ID"/>
    <tableColumn id="2" xr3:uid="{B9EB1A1D-9ABA-4E49-A244-002E3CB80A93}" name="Date"/>
    <tableColumn id="3" xr3:uid="{05F2959D-6F22-4439-B69D-1FD041C1708A}" name="Checking">
      <calculatedColumnFormula>CheckingTable[[#This Row],[SubTotal]]</calculatedColumnFormula>
    </tableColumn>
    <tableColumn id="4" xr3:uid="{28CE6751-A210-4BED-A3B6-6ACED44A7368}" name="Credit">
      <calculatedColumnFormula>CreditTable[[#This Row],[SubTotal]]</calculatedColumnFormula>
    </tableColumn>
    <tableColumn id="5" xr3:uid="{5B28AADB-A648-4AE9-973D-4F02FB953FCB}" name="Savings">
      <calculatedColumnFormula>SavingsTable[[#This Row],[SubTotal]]</calculatedColumnFormula>
    </tableColumn>
    <tableColumn id="6" xr3:uid="{ABD30D39-6205-4856-B42C-51DB30E42D7F}" name="Retirement">
      <calculatedColumnFormula>RetirementTable[[#This Row],[SubTotal]]</calculatedColumnFormula>
    </tableColumn>
    <tableColumn id="7" xr3:uid="{340F857F-D1E1-420B-BD37-2CE7D899DE83}" name="Stocks">
      <calculatedColumnFormula>StocksTable[[#This Row],[SubTotal]]</calculatedColumnFormula>
    </tableColumn>
    <tableColumn id="8" xr3:uid="{C2BEDDAA-75A5-4435-A496-607C500B7977}" name="Loans">
      <calculatedColumnFormula>LoansTable[[#This Row],[SubTotal]]</calculatedColumnFormula>
    </tableColumn>
    <tableColumn id="9" xr3:uid="{54334C91-1F92-4394-AF48-A82DEA5870C5}" name="Assets">
      <calculatedColumnFormula>AssetsTable[[#This Row],[SubTotal]]</calculatedColumnFormula>
    </tableColumn>
    <tableColumn id="10" xr3:uid="{1A859935-3225-4CC1-9020-EF5A50B280A9}" name="Useable Total">
      <calculatedColumnFormula>C3+D3</calculatedColumnFormula>
    </tableColumn>
    <tableColumn id="11" xr3:uid="{E9C2BBD5-1A6E-40AB-BD8B-4A82ED68BB03}" name="Total">
      <calculatedColumnFormula>SUM(C3:I3)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297E13F-B619-4FF6-80E9-9D49C06D695D}" name="CheckingTable" displayName="CheckingTable" ref="N2:P3" totalsRowShown="0">
  <autoFilter ref="N2:P3" xr:uid="{E297E13F-B619-4FF6-80E9-9D49C06D695D}"/>
  <tableColumns count="3">
    <tableColumn id="1" xr3:uid="{4E0888E4-074B-4C16-81FA-4DB4D30D7E79}" name="Chase"/>
    <tableColumn id="2" xr3:uid="{97133EE1-AD5F-4A71-8446-BC3D004C8D4E}" name="Bank of America"/>
    <tableColumn id="3" xr3:uid="{26CE668B-1AF5-4EFE-B269-5A62947A5EF3}" name="SubTotal">
      <calculatedColumnFormula>SUM(N3:O3)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FBBFE00-F828-41F6-8310-DBAB9E10A8C4}" name="CreditTable" displayName="CreditTable" ref="S2:U3" totalsRowShown="0">
  <autoFilter ref="S2:U3" xr:uid="{9FBBFE00-F828-41F6-8310-DBAB9E10A8C4}"/>
  <tableColumns count="3">
    <tableColumn id="1" xr3:uid="{67B99585-1755-47CD-87B1-8A738D57B401}" name="SW"/>
    <tableColumn id="2" xr3:uid="{FFBA897E-D56F-4250-A5FC-2BD7F5A02574}" name="Amex"/>
    <tableColumn id="3" xr3:uid="{91CFFEEC-759F-4E3B-8094-2CADA78CED1B}" name="SubTotal">
      <calculatedColumnFormula>SUM(S3:T3)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914ECCA-A39C-44F9-B595-5DCD1A5A2561}" name="SavingsTable" displayName="SavingsTable" ref="X2:Z3" totalsRowShown="0">
  <autoFilter ref="X2:Z3" xr:uid="{6914ECCA-A39C-44F9-B595-5DCD1A5A2561}"/>
  <tableColumns count="3">
    <tableColumn id="1" xr3:uid="{B4AEAAE6-6EC9-4F8F-A0FF-28B347FDFD54}" name="BoA-Savings"/>
    <tableColumn id="2" xr3:uid="{EE39D7F0-58FA-4AA1-B3F5-A39129742FF0}" name="Chase-Savings"/>
    <tableColumn id="3" xr3:uid="{804601C8-9DAC-44B8-BA89-2B8C853445CB}" name="SubTotal">
      <calculatedColumnFormula>SUM(X3:Y3)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72CC386-720E-4A2D-875F-B5F16E75D041}" name="RetirementTable" displayName="RetirementTable" ref="AC2:AF3" totalsRowShown="0">
  <autoFilter ref="AC2:AF3" xr:uid="{E72CC386-720E-4A2D-875F-B5F16E75D041}"/>
  <tableColumns count="4">
    <tableColumn id="1" xr3:uid="{4FF14E7F-2F63-4765-AEFA-21140486D2BE}" name="MerrylLynch 401k"/>
    <tableColumn id="2" xr3:uid="{7FCA744C-5182-483E-922D-BD18D51E1AAA}" name="Fidelity 401K"/>
    <tableColumn id="3" xr3:uid="{DC461885-D0EB-4B3F-8BAA-00B5F3A2F3D3}" name="RH-401K"/>
    <tableColumn id="4" xr3:uid="{83B0432E-4669-422D-877E-A1E1A5801747}" name="SubTotal">
      <calculatedColumnFormula>SUM(AC3:AE3)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2D96B84-BB1E-4F20-A84A-44118472F6A6}" name="StocksTable" displayName="StocksTable" ref="AI2:AK3" totalsRowShown="0">
  <autoFilter ref="AI2:AK3" xr:uid="{C2D96B84-BB1E-4F20-A84A-44118472F6A6}"/>
  <tableColumns count="3">
    <tableColumn id="1" xr3:uid="{92B000B1-EAA6-4C30-AE2F-196CF4CA0866}" name="Bovado"/>
    <tableColumn id="2" xr3:uid="{2840014B-F7AF-4F75-A077-64B4C56DE78E}" name="RobinHood"/>
    <tableColumn id="3" xr3:uid="{5898EA85-C750-447A-BB0D-10A40B8F9677}" name="SubTotal">
      <calculatedColumnFormula>SUM(AI3:AJ3)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BF52C1C-DB06-4F77-B6D0-CF36992CE9FD}" name="LoansTable" displayName="LoansTable" ref="AN2:AP3" totalsRowShown="0">
  <autoFilter ref="AN2:AP3" xr:uid="{BBF52C1C-DB06-4F77-B6D0-CF36992CE9FD}"/>
  <tableColumns count="3">
    <tableColumn id="1" xr3:uid="{296FDCD5-ADE8-424E-9DA7-1C83A15BC25E}" name="NelNet"/>
    <tableColumn id="2" xr3:uid="{ED9A5A8A-AD68-4FA6-A919-EA31F76E838B}" name="GreatLakes"/>
    <tableColumn id="3" xr3:uid="{4941D324-9D84-4051-9837-CB8363D9CA63}" name="SubTotal">
      <calculatedColumnFormula>SUM(AN3:AO3)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A261577-FD41-4E3F-AF4E-001C7BEDF2D1}" name="AssetsTable" displayName="AssetsTable" ref="AS2:AV3" totalsRowShown="0">
  <autoFilter ref="AS2:AV3" xr:uid="{2A261577-FD41-4E3F-AF4E-001C7BEDF2D1}"/>
  <tableColumns count="4">
    <tableColumn id="1" xr3:uid="{206B3192-3C08-44DC-AE91-34C2909C35AB}" name="House"/>
    <tableColumn id="2" xr3:uid="{0BEEFBEC-6088-4C0E-8548-4C73EEC6AAE8}" name="Farm"/>
    <tableColumn id="3" xr3:uid="{2E06F300-57D0-4978-886D-2906CE594718}" name="Truck"/>
    <tableColumn id="4" xr3:uid="{043FD250-8606-4D27-A325-AD0D8EB51501}" name="SubTotal">
      <calculatedColumnFormula>SUM(AS3:AU3)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AFD51B-7A6A-416C-8C71-C293CB416149}" name="Table2024" displayName="Table2024" ref="A1:H3" totalsRowShown="0">
  <autoFilter ref="A1:H3" xr:uid="{C8AFD51B-7A6A-416C-8C71-C293CB416149}"/>
  <tableColumns count="8">
    <tableColumn id="1" xr3:uid="{34A2D4DD-4AF7-4AD9-BCC1-1C5641ABAA60}" name="ID"/>
    <tableColumn id="2" xr3:uid="{973FD799-F15E-4510-9542-66067387E8C2}" name="Date" dataDxfId="6"/>
    <tableColumn id="3" xr3:uid="{F5761046-F12E-46D6-BF05-24C27D508FFC}" name="Cost" dataDxfId="5"/>
    <tableColumn id="4" xr3:uid="{BB6B0D1C-86A6-4E25-AA36-A3B8D2244412}" name="Place"/>
    <tableColumn id="5" xr3:uid="{4D05A4C0-4354-4555-9186-0AB0425D0DF2}" name="Location"/>
    <tableColumn id="6" xr3:uid="{4A668F66-FD09-4DCE-9681-4C4B1FE476B3}" name="Category"/>
    <tableColumn id="7" xr3:uid="{48D67816-E076-4BEA-94C9-36BFFB06C0BC}" name="Method"/>
    <tableColumn id="8" xr3:uid="{9A920389-E980-4F6F-81FD-503FE69B119D}" name="Note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7D65076-99D0-4AFE-81E8-B2546B339F8A}" name="Table2023" displayName="Table2023" ref="A1:H2" totalsRowShown="0">
  <autoFilter ref="A1:H2" xr:uid="{37D65076-99D0-4AFE-81E8-B2546B339F8A}"/>
  <tableColumns count="8">
    <tableColumn id="1" xr3:uid="{1342A2FC-B1B7-4100-BB76-03E605F8448E}" name="ID"/>
    <tableColumn id="2" xr3:uid="{FFDF2694-0767-41F3-986A-1DCCD28481AE}" name="Date" dataDxfId="4"/>
    <tableColumn id="3" xr3:uid="{B2C18277-89D5-4B5E-9C78-CCDCE0C7D9FA}" name="Cost" dataDxfId="3"/>
    <tableColumn id="4" xr3:uid="{CFE775D7-A30F-450E-89BA-4DD9690EA2A1}" name="Place"/>
    <tableColumn id="5" xr3:uid="{2B95DD8D-C08A-4B8C-BFFE-1A8964D67F5F}" name="Location"/>
    <tableColumn id="6" xr3:uid="{6EB33E33-674B-4E4F-A90E-833D4C8FE013}" name="Category"/>
    <tableColumn id="7" xr3:uid="{E109C53D-4169-4F96-8E1A-3CFFB03DDCFC}" name="Method"/>
    <tableColumn id="8" xr3:uid="{A4681E5B-FC8B-441C-9A73-90FA04B9C6AB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3A45B-6F26-4F28-B011-68F0B488AED5}">
  <sheetPr codeName="Sheet1"/>
  <dimension ref="A1:M9"/>
  <sheetViews>
    <sheetView workbookViewId="0">
      <selection activeCell="K26" sqref="K26"/>
    </sheetView>
  </sheetViews>
  <sheetFormatPr defaultRowHeight="15" x14ac:dyDescent="0.25"/>
  <sheetData>
    <row r="1" spans="1:13" x14ac:dyDescent="0.25">
      <c r="A1" t="s">
        <v>68</v>
      </c>
    </row>
    <row r="4" spans="1:13" x14ac:dyDescent="0.25">
      <c r="E4" t="s">
        <v>58</v>
      </c>
      <c r="I4" t="s">
        <v>59</v>
      </c>
      <c r="M4" t="s">
        <v>60</v>
      </c>
    </row>
    <row r="6" spans="1:13" x14ac:dyDescent="0.25">
      <c r="E6" t="s">
        <v>38</v>
      </c>
    </row>
    <row r="9" spans="1:13" x14ac:dyDescent="0.25">
      <c r="E9" t="s">
        <v>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4DA6B-81EC-4E0B-8A20-E90F545AC478}">
  <sheetPr codeName="Sheet2"/>
  <dimension ref="A1:Q29"/>
  <sheetViews>
    <sheetView workbookViewId="0">
      <selection activeCell="M39" sqref="M39"/>
    </sheetView>
  </sheetViews>
  <sheetFormatPr defaultRowHeight="15" x14ac:dyDescent="0.25"/>
  <cols>
    <col min="1" max="4" width="9.140625" style="37" customWidth="1"/>
    <col min="5" max="8" width="9.140625" style="37"/>
    <col min="9" max="9" width="9.140625" style="37" customWidth="1"/>
    <col min="10" max="11" width="11" style="37" customWidth="1"/>
    <col min="12" max="12" width="9.140625" style="37" customWidth="1"/>
    <col min="13" max="13" width="18.140625" style="37" customWidth="1"/>
    <col min="14" max="17" width="9.140625" style="37" customWidth="1"/>
    <col min="18" max="16384" width="9.140625" style="37"/>
  </cols>
  <sheetData>
    <row r="1" spans="1:17" ht="15" customHeight="1" x14ac:dyDescent="0.25">
      <c r="A1" s="31" t="s">
        <v>67</v>
      </c>
      <c r="B1" s="32"/>
      <c r="C1" s="32"/>
      <c r="D1" s="33"/>
      <c r="E1" s="28" t="s">
        <v>1</v>
      </c>
      <c r="F1" s="29"/>
      <c r="G1" s="29"/>
      <c r="H1" s="30"/>
      <c r="I1" s="34" t="s">
        <v>93</v>
      </c>
      <c r="J1" s="35"/>
      <c r="K1" s="35"/>
      <c r="L1" s="35"/>
      <c r="M1" s="35"/>
      <c r="N1" s="35"/>
      <c r="O1" s="35"/>
      <c r="P1" s="35"/>
      <c r="Q1" s="36"/>
    </row>
    <row r="2" spans="1:17" x14ac:dyDescent="0.25">
      <c r="A2" s="13"/>
      <c r="B2" s="14"/>
      <c r="C2" s="14"/>
      <c r="D2" s="15"/>
      <c r="E2" s="6"/>
      <c r="F2" s="7"/>
      <c r="G2" s="7"/>
      <c r="H2" s="8"/>
      <c r="I2" s="6"/>
      <c r="J2" s="17" t="s">
        <v>61</v>
      </c>
      <c r="K2" s="17"/>
      <c r="L2" s="7"/>
      <c r="M2" s="3" t="s">
        <v>35</v>
      </c>
      <c r="N2" s="7"/>
      <c r="O2" s="17" t="s">
        <v>36</v>
      </c>
      <c r="P2" s="17"/>
      <c r="Q2" s="8"/>
    </row>
    <row r="3" spans="1:17" x14ac:dyDescent="0.25">
      <c r="A3" s="22" t="s">
        <v>70</v>
      </c>
      <c r="B3" s="23"/>
      <c r="C3" s="23"/>
      <c r="D3" s="24"/>
      <c r="E3" s="9"/>
      <c r="F3" s="4"/>
      <c r="G3" s="4"/>
      <c r="H3" s="10"/>
      <c r="I3" s="9"/>
      <c r="J3" t="s">
        <v>64</v>
      </c>
      <c r="K3" t="s">
        <v>91</v>
      </c>
      <c r="L3" s="4"/>
      <c r="M3" t="s">
        <v>6</v>
      </c>
      <c r="N3" s="4"/>
      <c r="O3" t="s">
        <v>17</v>
      </c>
      <c r="P3" t="s">
        <v>15</v>
      </c>
      <c r="Q3" s="10"/>
    </row>
    <row r="4" spans="1:17" x14ac:dyDescent="0.25">
      <c r="A4" s="25"/>
      <c r="B4" s="26"/>
      <c r="C4" s="26"/>
      <c r="D4" s="27"/>
      <c r="E4" s="9"/>
      <c r="F4" s="4"/>
      <c r="G4" s="4"/>
      <c r="H4" s="10"/>
      <c r="I4" s="9"/>
      <c r="J4" t="s">
        <v>5</v>
      </c>
      <c r="K4">
        <v>2</v>
      </c>
      <c r="L4" s="4"/>
      <c r="M4" t="s">
        <v>7</v>
      </c>
      <c r="N4" s="4"/>
      <c r="O4" s="38" t="s">
        <v>2</v>
      </c>
      <c r="P4" s="38" t="s">
        <v>16</v>
      </c>
      <c r="Q4" s="10"/>
    </row>
    <row r="5" spans="1:17" x14ac:dyDescent="0.25">
      <c r="A5" s="13"/>
      <c r="B5" s="14"/>
      <c r="C5" s="14"/>
      <c r="D5" s="15"/>
      <c r="E5" s="9"/>
      <c r="F5" s="4"/>
      <c r="G5" s="4"/>
      <c r="H5" s="10"/>
      <c r="I5" s="9"/>
      <c r="J5" t="s">
        <v>62</v>
      </c>
      <c r="K5">
        <f ca="1">MONTH(TODAY())</f>
        <v>3</v>
      </c>
      <c r="L5" s="4"/>
      <c r="M5" t="s">
        <v>10</v>
      </c>
      <c r="N5" s="4"/>
      <c r="O5" s="38" t="s">
        <v>4</v>
      </c>
      <c r="P5" s="38" t="s">
        <v>16</v>
      </c>
      <c r="Q5" s="10"/>
    </row>
    <row r="6" spans="1:17" x14ac:dyDescent="0.25">
      <c r="A6" s="22" t="s">
        <v>69</v>
      </c>
      <c r="B6" s="23"/>
      <c r="C6" s="23"/>
      <c r="D6" s="24"/>
      <c r="E6" s="9"/>
      <c r="F6" s="4"/>
      <c r="G6" s="4"/>
      <c r="H6" s="10"/>
      <c r="I6" s="9"/>
      <c r="J6" t="s">
        <v>63</v>
      </c>
      <c r="K6">
        <f ca="1">YEAR(TODAY())</f>
        <v>2024</v>
      </c>
      <c r="L6" s="4"/>
      <c r="M6" t="s">
        <v>11</v>
      </c>
      <c r="N6" s="4"/>
      <c r="O6" s="38" t="s">
        <v>3</v>
      </c>
      <c r="P6" s="38" t="s">
        <v>18</v>
      </c>
      <c r="Q6" s="10"/>
    </row>
    <row r="7" spans="1:17" x14ac:dyDescent="0.25">
      <c r="A7" s="25"/>
      <c r="B7" s="26"/>
      <c r="C7" s="26"/>
      <c r="D7" s="27"/>
      <c r="E7" s="9"/>
      <c r="F7" s="4"/>
      <c r="G7" s="4"/>
      <c r="H7" s="10"/>
      <c r="I7" s="9"/>
      <c r="J7" s="4"/>
      <c r="K7" s="4"/>
      <c r="L7" s="4"/>
      <c r="M7" t="s">
        <v>12</v>
      </c>
      <c r="N7" s="4"/>
      <c r="O7" s="38" t="s">
        <v>23</v>
      </c>
      <c r="P7" s="38" t="s">
        <v>18</v>
      </c>
      <c r="Q7" s="10"/>
    </row>
    <row r="8" spans="1:17" x14ac:dyDescent="0.25">
      <c r="A8" s="13"/>
      <c r="B8" s="14"/>
      <c r="C8" s="14"/>
      <c r="D8" s="15"/>
      <c r="E8" s="9"/>
      <c r="F8" s="4"/>
      <c r="G8" s="4"/>
      <c r="H8" s="10"/>
      <c r="I8" s="9"/>
      <c r="J8" s="4"/>
      <c r="K8" s="4"/>
      <c r="L8" s="4"/>
      <c r="M8" t="s">
        <v>13</v>
      </c>
      <c r="N8" s="4"/>
      <c r="O8" s="38" t="s">
        <v>92</v>
      </c>
      <c r="P8" s="38" t="s">
        <v>16</v>
      </c>
      <c r="Q8" s="10"/>
    </row>
    <row r="9" spans="1:17" x14ac:dyDescent="0.25">
      <c r="A9" s="22" t="s">
        <v>71</v>
      </c>
      <c r="B9" s="23"/>
      <c r="C9" s="23"/>
      <c r="D9" s="24"/>
      <c r="E9" s="9"/>
      <c r="F9" s="4"/>
      <c r="G9" s="4"/>
      <c r="H9" s="10"/>
      <c r="I9" s="9"/>
      <c r="J9" s="4"/>
      <c r="K9" s="4"/>
      <c r="L9" s="4"/>
      <c r="M9" t="s">
        <v>9</v>
      </c>
      <c r="N9" s="4"/>
      <c r="O9" s="4"/>
      <c r="P9" s="4"/>
      <c r="Q9" s="10"/>
    </row>
    <row r="10" spans="1:17" x14ac:dyDescent="0.25">
      <c r="A10" s="25"/>
      <c r="B10" s="26"/>
      <c r="C10" s="26"/>
      <c r="D10" s="27"/>
      <c r="E10" s="9"/>
      <c r="F10" s="4"/>
      <c r="G10" s="4"/>
      <c r="H10" s="10"/>
      <c r="I10" s="9"/>
      <c r="J10" s="4"/>
      <c r="K10" s="4"/>
      <c r="L10" s="4"/>
      <c r="M10" t="s">
        <v>14</v>
      </c>
      <c r="N10" s="4"/>
      <c r="O10" s="4"/>
      <c r="P10" s="4"/>
      <c r="Q10" s="10"/>
    </row>
    <row r="11" spans="1:17" x14ac:dyDescent="0.25">
      <c r="A11" s="13"/>
      <c r="B11" s="14"/>
      <c r="C11" s="14"/>
      <c r="D11" s="15"/>
      <c r="E11" s="9"/>
      <c r="F11" s="4"/>
      <c r="G11" s="4"/>
      <c r="H11" s="10"/>
      <c r="I11" s="9"/>
      <c r="J11" s="4"/>
      <c r="K11" s="4"/>
      <c r="L11" s="4"/>
      <c r="M11" t="s">
        <v>8</v>
      </c>
      <c r="N11" s="4"/>
      <c r="O11" s="4"/>
      <c r="P11" s="4"/>
      <c r="Q11" s="10"/>
    </row>
    <row r="12" spans="1:17" x14ac:dyDescent="0.25">
      <c r="A12" s="22" t="s">
        <v>74</v>
      </c>
      <c r="B12" s="23"/>
      <c r="C12" s="23"/>
      <c r="D12" s="24"/>
      <c r="E12" s="9"/>
      <c r="F12" s="4"/>
      <c r="G12" s="4"/>
      <c r="H12" s="10"/>
      <c r="I12" s="9"/>
      <c r="J12" s="4"/>
      <c r="K12" s="4"/>
      <c r="L12" s="4"/>
      <c r="M12" t="s">
        <v>75</v>
      </c>
      <c r="N12" s="4"/>
      <c r="O12" s="4"/>
      <c r="P12" s="4"/>
      <c r="Q12" s="10"/>
    </row>
    <row r="13" spans="1:17" x14ac:dyDescent="0.25">
      <c r="A13" s="25"/>
      <c r="B13" s="26"/>
      <c r="C13" s="26"/>
      <c r="D13" s="27"/>
      <c r="E13" s="9"/>
      <c r="F13" s="4"/>
      <c r="G13" s="4"/>
      <c r="H13" s="10"/>
      <c r="I13" s="9"/>
      <c r="J13" s="4"/>
      <c r="K13" s="4"/>
      <c r="L13" s="4"/>
      <c r="M13" t="s">
        <v>76</v>
      </c>
      <c r="N13" s="4"/>
      <c r="O13" s="4"/>
      <c r="P13" s="4"/>
      <c r="Q13" s="10"/>
    </row>
    <row r="14" spans="1:17" x14ac:dyDescent="0.25">
      <c r="A14" s="13"/>
      <c r="B14" s="14"/>
      <c r="C14" s="14"/>
      <c r="D14" s="15"/>
      <c r="E14" s="9"/>
      <c r="F14" s="4"/>
      <c r="G14" s="4"/>
      <c r="H14" s="10"/>
      <c r="I14" s="9"/>
      <c r="J14" s="4"/>
      <c r="K14" s="4"/>
      <c r="L14" s="4"/>
      <c r="M14" t="s">
        <v>33</v>
      </c>
      <c r="N14" s="4"/>
      <c r="O14" s="4"/>
      <c r="P14" s="4"/>
      <c r="Q14" s="10"/>
    </row>
    <row r="15" spans="1:17" x14ac:dyDescent="0.25">
      <c r="A15" s="22" t="s">
        <v>72</v>
      </c>
      <c r="B15" s="23"/>
      <c r="C15" s="23"/>
      <c r="D15" s="24"/>
      <c r="E15" s="9"/>
      <c r="F15" s="4"/>
      <c r="G15" s="4"/>
      <c r="H15" s="10"/>
      <c r="I15" s="9"/>
      <c r="J15" s="4"/>
      <c r="K15" s="4"/>
      <c r="L15" s="4"/>
      <c r="M15" t="s">
        <v>77</v>
      </c>
      <c r="N15" s="4"/>
      <c r="O15" s="4"/>
      <c r="P15" s="4"/>
      <c r="Q15" s="10"/>
    </row>
    <row r="16" spans="1:17" x14ac:dyDescent="0.25">
      <c r="A16" s="25"/>
      <c r="B16" s="26"/>
      <c r="C16" s="26"/>
      <c r="D16" s="27"/>
      <c r="E16" s="9"/>
      <c r="F16" s="4"/>
      <c r="G16" s="4"/>
      <c r="H16" s="10"/>
      <c r="I16" s="9"/>
      <c r="J16" s="4"/>
      <c r="K16" s="4"/>
      <c r="L16" s="4"/>
      <c r="M16" t="s">
        <v>78</v>
      </c>
      <c r="N16" s="4"/>
      <c r="O16" s="4"/>
      <c r="P16" s="4"/>
      <c r="Q16" s="10"/>
    </row>
    <row r="17" spans="1:17" x14ac:dyDescent="0.25">
      <c r="A17" s="13"/>
      <c r="B17" s="14"/>
      <c r="C17" s="14"/>
      <c r="D17" s="15"/>
      <c r="E17" s="9"/>
      <c r="F17" s="4"/>
      <c r="G17" s="4"/>
      <c r="H17" s="10"/>
      <c r="I17" s="9"/>
      <c r="J17" s="4"/>
      <c r="K17" s="4"/>
      <c r="L17" s="4"/>
      <c r="M17" t="s">
        <v>79</v>
      </c>
      <c r="N17" s="4"/>
      <c r="O17" s="4"/>
      <c r="P17" s="4"/>
      <c r="Q17" s="10"/>
    </row>
    <row r="18" spans="1:17" x14ac:dyDescent="0.25">
      <c r="A18" s="22" t="s">
        <v>73</v>
      </c>
      <c r="B18" s="23"/>
      <c r="C18" s="23"/>
      <c r="D18" s="24"/>
      <c r="E18" s="9"/>
      <c r="F18" s="4"/>
      <c r="G18" s="4"/>
      <c r="H18" s="10"/>
      <c r="I18" s="9"/>
      <c r="J18" s="4"/>
      <c r="K18" s="4"/>
      <c r="L18" s="4"/>
      <c r="M18" t="s">
        <v>80</v>
      </c>
      <c r="N18" s="4"/>
      <c r="O18" s="4"/>
      <c r="P18" s="4"/>
      <c r="Q18" s="10"/>
    </row>
    <row r="19" spans="1:17" x14ac:dyDescent="0.25">
      <c r="A19" s="25"/>
      <c r="B19" s="26"/>
      <c r="C19" s="26"/>
      <c r="D19" s="27"/>
      <c r="E19" s="9"/>
      <c r="F19" s="4"/>
      <c r="G19" s="4"/>
      <c r="H19" s="10"/>
      <c r="I19" s="9"/>
      <c r="J19" s="4"/>
      <c r="K19" s="4"/>
      <c r="L19" s="4"/>
      <c r="M19" t="s">
        <v>81</v>
      </c>
      <c r="N19" s="4"/>
      <c r="O19" s="4"/>
      <c r="P19" s="4"/>
      <c r="Q19" s="10"/>
    </row>
    <row r="20" spans="1:17" x14ac:dyDescent="0.25">
      <c r="A20" s="16"/>
      <c r="B20" s="17"/>
      <c r="C20" s="17"/>
      <c r="D20" s="18"/>
      <c r="E20" s="9"/>
      <c r="F20" s="4"/>
      <c r="G20" s="4"/>
      <c r="H20" s="10"/>
      <c r="I20" s="9"/>
      <c r="J20" s="4"/>
      <c r="K20" s="4"/>
      <c r="L20" s="4"/>
      <c r="M20" t="s">
        <v>82</v>
      </c>
      <c r="N20" s="4"/>
      <c r="O20" s="4"/>
      <c r="P20" s="4"/>
      <c r="Q20" s="10"/>
    </row>
    <row r="21" spans="1:17" x14ac:dyDescent="0.25">
      <c r="A21" s="19"/>
      <c r="B21" s="20"/>
      <c r="C21" s="20"/>
      <c r="D21" s="21"/>
      <c r="E21" s="11"/>
      <c r="F21" s="5"/>
      <c r="G21" s="5"/>
      <c r="H21" s="12"/>
      <c r="I21" s="9"/>
      <c r="J21" s="4"/>
      <c r="K21" s="4"/>
      <c r="L21" s="4"/>
      <c r="M21" t="s">
        <v>83</v>
      </c>
      <c r="N21" s="4"/>
      <c r="O21" s="4"/>
      <c r="P21" s="4"/>
      <c r="Q21" s="10"/>
    </row>
    <row r="22" spans="1:17" x14ac:dyDescent="0.25">
      <c r="I22" s="9"/>
      <c r="J22" s="4"/>
      <c r="K22" s="4"/>
      <c r="L22" s="4"/>
      <c r="M22" t="s">
        <v>84</v>
      </c>
      <c r="N22" s="4"/>
      <c r="O22" s="4"/>
      <c r="P22" s="4"/>
      <c r="Q22" s="10"/>
    </row>
    <row r="23" spans="1:17" x14ac:dyDescent="0.25">
      <c r="I23" s="9"/>
      <c r="J23" s="4"/>
      <c r="K23" s="4"/>
      <c r="L23" s="4"/>
      <c r="M23" t="s">
        <v>85</v>
      </c>
      <c r="N23" s="4"/>
      <c r="O23" s="4"/>
      <c r="P23" s="4"/>
      <c r="Q23" s="10"/>
    </row>
    <row r="24" spans="1:17" x14ac:dyDescent="0.25">
      <c r="I24" s="9"/>
      <c r="J24" s="4"/>
      <c r="K24" s="4"/>
      <c r="L24" s="4"/>
      <c r="M24" t="s">
        <v>86</v>
      </c>
      <c r="N24" s="4"/>
      <c r="O24" s="4"/>
      <c r="P24" s="4"/>
      <c r="Q24" s="10"/>
    </row>
    <row r="25" spans="1:17" x14ac:dyDescent="0.25">
      <c r="I25" s="9"/>
      <c r="J25" s="4"/>
      <c r="K25" s="4"/>
      <c r="L25" s="4"/>
      <c r="M25" t="s">
        <v>87</v>
      </c>
      <c r="N25" s="4"/>
      <c r="O25" s="4"/>
      <c r="P25" s="4"/>
      <c r="Q25" s="10"/>
    </row>
    <row r="26" spans="1:17" x14ac:dyDescent="0.25">
      <c r="I26" s="9"/>
      <c r="J26" s="4"/>
      <c r="K26" s="4"/>
      <c r="L26" s="4"/>
      <c r="M26" t="s">
        <v>88</v>
      </c>
      <c r="N26" s="4"/>
      <c r="O26" s="4"/>
      <c r="P26" s="4"/>
      <c r="Q26" s="10"/>
    </row>
    <row r="27" spans="1:17" x14ac:dyDescent="0.25">
      <c r="I27" s="9"/>
      <c r="J27" s="4"/>
      <c r="K27" s="4"/>
      <c r="L27" s="4"/>
      <c r="M27" t="s">
        <v>89</v>
      </c>
      <c r="N27" s="4"/>
      <c r="O27" s="4"/>
      <c r="P27" s="4"/>
      <c r="Q27" s="10"/>
    </row>
    <row r="28" spans="1:17" x14ac:dyDescent="0.25">
      <c r="I28" s="9"/>
      <c r="J28" s="4"/>
      <c r="K28" s="4"/>
      <c r="L28" s="4"/>
      <c r="M28" t="s">
        <v>90</v>
      </c>
      <c r="N28" s="4"/>
      <c r="O28" s="4"/>
      <c r="P28" s="4"/>
      <c r="Q28" s="10"/>
    </row>
    <row r="29" spans="1:17" x14ac:dyDescent="0.25">
      <c r="I29" s="11"/>
      <c r="J29" s="5"/>
      <c r="K29" s="5"/>
      <c r="L29" s="5"/>
      <c r="M29" s="5"/>
      <c r="N29" s="5"/>
      <c r="O29" s="5"/>
      <c r="P29" s="5"/>
      <c r="Q29" s="12"/>
    </row>
  </sheetData>
  <mergeCells count="18">
    <mergeCell ref="E1:H1"/>
    <mergeCell ref="A1:D1"/>
    <mergeCell ref="I1:Q1"/>
    <mergeCell ref="A3:D4"/>
    <mergeCell ref="J2:K2"/>
    <mergeCell ref="O2:P2"/>
    <mergeCell ref="A5:D5"/>
    <mergeCell ref="A2:D2"/>
    <mergeCell ref="A20:D21"/>
    <mergeCell ref="A17:D17"/>
    <mergeCell ref="A14:D14"/>
    <mergeCell ref="A11:D11"/>
    <mergeCell ref="A8:D8"/>
    <mergeCell ref="A6:D7"/>
    <mergeCell ref="A18:D19"/>
    <mergeCell ref="A15:D16"/>
    <mergeCell ref="A12:D13"/>
    <mergeCell ref="A9:D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CostEntryForm">
                <anchor moveWithCells="1">
                  <from>
                    <xdr:col>4</xdr:col>
                    <xdr:colOff>600075</xdr:colOff>
                    <xdr:row>2</xdr:row>
                    <xdr:rowOff>9525</xdr:rowOff>
                  </from>
                  <to>
                    <xdr:col>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howNewYearForm">
                <anchor moveWithCells="1">
                  <from>
                    <xdr:col>5</xdr:col>
                    <xdr:colOff>0</xdr:colOff>
                    <xdr:row>5</xdr:row>
                    <xdr:rowOff>19050</xdr:rowOff>
                  </from>
                  <to>
                    <xdr:col>7</xdr:col>
                    <xdr:colOff>9525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Placeholder">
                <anchor moveWithCells="1" sizeWithCells="1">
                  <from>
                    <xdr:col>5</xdr:col>
                    <xdr:colOff>9525</xdr:colOff>
                    <xdr:row>11</xdr:row>
                    <xdr:rowOff>9525</xdr:rowOff>
                  </from>
                  <to>
                    <xdr:col>7</xdr:col>
                    <xdr:colOff>9525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Placeholder">
                <anchor moveWithCells="1" sizeWithCells="1">
                  <from>
                    <xdr:col>5</xdr:col>
                    <xdr:colOff>9525</xdr:colOff>
                    <xdr:row>8</xdr:row>
                    <xdr:rowOff>9525</xdr:rowOff>
                  </from>
                  <to>
                    <xdr:col>7</xdr:col>
                    <xdr:colOff>9525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AdminButton">
              <controlPr defaultSize="0" print="0" autoFill="0" autoPict="0" macro="[0]!ShowAdmin">
                <anchor moveWithCells="1" sizeWithCells="1">
                  <from>
                    <xdr:col>5</xdr:col>
                    <xdr:colOff>9525</xdr:colOff>
                    <xdr:row>14</xdr:row>
                    <xdr:rowOff>0</xdr:rowOff>
                  </from>
                  <to>
                    <xdr:col>7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HelpButton">
              <controlPr defaultSize="0" print="0" autoFill="0" autoPict="0" macro="[0]!ShowHelp">
                <anchor moveWithCells="1" sizeWithCells="1">
                  <from>
                    <xdr:col>5</xdr:col>
                    <xdr:colOff>0</xdr:colOff>
                    <xdr:row>16</xdr:row>
                    <xdr:rowOff>180975</xdr:rowOff>
                  </from>
                  <to>
                    <xdr:col>7</xdr:col>
                    <xdr:colOff>9525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3"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DD468-E9D7-478C-BFC9-E2609AEFED30}">
  <sheetPr codeName="Sheet6"/>
  <dimension ref="A1:AV3"/>
  <sheetViews>
    <sheetView tabSelected="1" workbookViewId="0">
      <selection activeCell="E22" sqref="E22"/>
    </sheetView>
  </sheetViews>
  <sheetFormatPr defaultRowHeight="15" x14ac:dyDescent="0.25"/>
  <cols>
    <col min="3" max="3" width="11.140625" customWidth="1"/>
    <col min="5" max="5" width="9.7109375" customWidth="1"/>
    <col min="6" max="6" width="13.28515625" customWidth="1"/>
    <col min="10" max="10" width="15.28515625" customWidth="1"/>
    <col min="15" max="15" width="17.42578125" customWidth="1"/>
    <col min="16" max="16" width="10.85546875" customWidth="1"/>
    <col min="21" max="21" width="10.85546875" customWidth="1"/>
    <col min="24" max="24" width="14" customWidth="1"/>
    <col min="25" max="25" width="15.7109375" customWidth="1"/>
    <col min="26" max="26" width="10.85546875" customWidth="1"/>
    <col min="29" max="29" width="18.5703125" customWidth="1"/>
    <col min="30" max="30" width="14.42578125" customWidth="1"/>
    <col min="31" max="31" width="10.42578125" customWidth="1"/>
    <col min="32" max="32" width="10.85546875" customWidth="1"/>
    <col min="35" max="35" width="9.7109375" customWidth="1"/>
    <col min="36" max="36" width="13" customWidth="1"/>
    <col min="37" max="37" width="10.85546875" customWidth="1"/>
    <col min="40" max="40" width="9.5703125" customWidth="1"/>
    <col min="41" max="41" width="13" customWidth="1"/>
    <col min="42" max="42" width="10.85546875" customWidth="1"/>
    <col min="48" max="48" width="10.85546875" customWidth="1"/>
  </cols>
  <sheetData>
    <row r="1" spans="1:48" x14ac:dyDescent="0.25">
      <c r="A1" t="s">
        <v>56</v>
      </c>
      <c r="N1" t="s">
        <v>18</v>
      </c>
      <c r="S1" t="s">
        <v>16</v>
      </c>
      <c r="X1" t="s">
        <v>19</v>
      </c>
      <c r="AC1" t="s">
        <v>21</v>
      </c>
      <c r="AI1" t="s">
        <v>47</v>
      </c>
      <c r="AN1" t="s">
        <v>22</v>
      </c>
      <c r="AS1" t="s">
        <v>37</v>
      </c>
    </row>
    <row r="2" spans="1:48" x14ac:dyDescent="0.25">
      <c r="A2" t="s">
        <v>24</v>
      </c>
      <c r="B2" t="s">
        <v>25</v>
      </c>
      <c r="C2" t="s">
        <v>18</v>
      </c>
      <c r="D2" t="s">
        <v>16</v>
      </c>
      <c r="E2" t="s">
        <v>19</v>
      </c>
      <c r="F2" t="s">
        <v>21</v>
      </c>
      <c r="G2" t="s">
        <v>20</v>
      </c>
      <c r="H2" t="s">
        <v>22</v>
      </c>
      <c r="I2" t="s">
        <v>37</v>
      </c>
      <c r="J2" t="s">
        <v>38</v>
      </c>
      <c r="K2" t="s">
        <v>39</v>
      </c>
      <c r="N2" t="s">
        <v>3</v>
      </c>
      <c r="O2" t="s">
        <v>41</v>
      </c>
      <c r="P2" t="s">
        <v>42</v>
      </c>
      <c r="S2" t="s">
        <v>2</v>
      </c>
      <c r="T2" t="s">
        <v>4</v>
      </c>
      <c r="U2" t="s">
        <v>42</v>
      </c>
      <c r="X2" t="s">
        <v>43</v>
      </c>
      <c r="Y2" t="s">
        <v>44</v>
      </c>
      <c r="Z2" t="s">
        <v>42</v>
      </c>
      <c r="AC2" t="s">
        <v>45</v>
      </c>
      <c r="AD2" t="s">
        <v>46</v>
      </c>
      <c r="AE2" t="s">
        <v>49</v>
      </c>
      <c r="AF2" t="s">
        <v>42</v>
      </c>
      <c r="AI2" t="s">
        <v>48</v>
      </c>
      <c r="AJ2" t="s">
        <v>50</v>
      </c>
      <c r="AK2" t="s">
        <v>42</v>
      </c>
      <c r="AN2" t="s">
        <v>51</v>
      </c>
      <c r="AO2" t="s">
        <v>52</v>
      </c>
      <c r="AP2" t="s">
        <v>42</v>
      </c>
      <c r="AS2" t="s">
        <v>53</v>
      </c>
      <c r="AT2" t="s">
        <v>54</v>
      </c>
      <c r="AU2" t="s">
        <v>55</v>
      </c>
      <c r="AV2" t="s">
        <v>42</v>
      </c>
    </row>
    <row r="3" spans="1:48" x14ac:dyDescent="0.25">
      <c r="A3">
        <v>1</v>
      </c>
      <c r="B3" t="s">
        <v>40</v>
      </c>
      <c r="C3">
        <f>CheckingTable[[#This Row],[SubTotal]]</f>
        <v>1000</v>
      </c>
      <c r="D3">
        <f>CreditTable[[#This Row],[SubTotal]]</f>
        <v>-500</v>
      </c>
      <c r="E3">
        <f>SavingsTable[[#This Row],[SubTotal]]</f>
        <v>10000</v>
      </c>
      <c r="F3">
        <f>RetirementTable[[#This Row],[SubTotal]]</f>
        <v>15000</v>
      </c>
      <c r="G3">
        <f>StocksTable[[#This Row],[SubTotal]]</f>
        <v>5000</v>
      </c>
      <c r="H3">
        <f>LoansTable[[#This Row],[SubTotal]]</f>
        <v>-2000</v>
      </c>
      <c r="I3">
        <f>AssetsTable[[#This Row],[SubTotal]]</f>
        <v>50000</v>
      </c>
      <c r="J3">
        <f>C3+D3</f>
        <v>500</v>
      </c>
      <c r="K3">
        <f>SUM(C3:I3)</f>
        <v>78500</v>
      </c>
      <c r="N3">
        <v>500</v>
      </c>
      <c r="O3">
        <v>500</v>
      </c>
      <c r="P3">
        <f>SUM(N3:O3)</f>
        <v>1000</v>
      </c>
      <c r="S3">
        <v>-300</v>
      </c>
      <c r="T3">
        <v>-200</v>
      </c>
      <c r="U3">
        <f>SUM(S3:T3)</f>
        <v>-500</v>
      </c>
      <c r="X3">
        <v>1000</v>
      </c>
      <c r="Y3">
        <v>9000</v>
      </c>
      <c r="Z3">
        <f>SUM(X3:Y3)</f>
        <v>10000</v>
      </c>
      <c r="AC3">
        <v>4000</v>
      </c>
      <c r="AD3">
        <v>10000</v>
      </c>
      <c r="AE3">
        <v>1000</v>
      </c>
      <c r="AF3">
        <f>SUM(AC3:AE3)</f>
        <v>15000</v>
      </c>
      <c r="AI3">
        <v>0</v>
      </c>
      <c r="AJ3">
        <v>5000</v>
      </c>
      <c r="AK3">
        <f>SUM(AI3:AJ3)</f>
        <v>5000</v>
      </c>
      <c r="AN3">
        <v>-500</v>
      </c>
      <c r="AO3">
        <v>-1500</v>
      </c>
      <c r="AP3">
        <f>SUM(AN3:AO3)</f>
        <v>-2000</v>
      </c>
      <c r="AS3">
        <v>40000</v>
      </c>
      <c r="AT3">
        <v>9000</v>
      </c>
      <c r="AU3">
        <v>1000</v>
      </c>
      <c r="AV3">
        <f>SUM(AS3:AU3)</f>
        <v>50000</v>
      </c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ABEF0-8B62-4CA4-B7B0-C760F246A94B}">
  <sheetPr codeName="Sheet5"/>
  <dimension ref="A1:H3"/>
  <sheetViews>
    <sheetView workbookViewId="0">
      <selection activeCell="M15" sqref="M15:P24"/>
    </sheetView>
  </sheetViews>
  <sheetFormatPr defaultRowHeight="15" x14ac:dyDescent="0.25"/>
  <cols>
    <col min="1" max="1" width="6.7109375" customWidth="1"/>
    <col min="2" max="2" width="10.7109375" style="2" customWidth="1"/>
    <col min="3" max="3" width="10.7109375" style="1" customWidth="1"/>
    <col min="4" max="4" width="30.7109375" customWidth="1"/>
    <col min="5" max="5" width="25.7109375" customWidth="1"/>
    <col min="6" max="6" width="20.7109375" customWidth="1"/>
    <col min="7" max="7" width="10.28515625" customWidth="1"/>
    <col min="8" max="8" width="40.7109375" customWidth="1"/>
  </cols>
  <sheetData>
    <row r="1" spans="1:8" x14ac:dyDescent="0.25">
      <c r="A1" t="s">
        <v>24</v>
      </c>
      <c r="B1" s="2" t="s">
        <v>25</v>
      </c>
      <c r="C1" s="1" t="s">
        <v>26</v>
      </c>
      <c r="D1" t="s">
        <v>27</v>
      </c>
      <c r="E1" t="s">
        <v>28</v>
      </c>
      <c r="F1" t="s">
        <v>6</v>
      </c>
      <c r="G1" t="s">
        <v>0</v>
      </c>
      <c r="H1" t="s">
        <v>29</v>
      </c>
    </row>
    <row r="2" spans="1:8" x14ac:dyDescent="0.25">
      <c r="A2">
        <v>1</v>
      </c>
      <c r="B2" s="2">
        <v>45292</v>
      </c>
      <c r="C2" s="1">
        <v>-19.059999999999999</v>
      </c>
      <c r="D2" t="s">
        <v>31</v>
      </c>
      <c r="E2" t="s">
        <v>32</v>
      </c>
      <c r="F2" t="s">
        <v>30</v>
      </c>
      <c r="G2" t="s">
        <v>2</v>
      </c>
    </row>
    <row r="3" spans="1:8" x14ac:dyDescent="0.25">
      <c r="A3">
        <v>2</v>
      </c>
      <c r="B3" s="2">
        <v>45292</v>
      </c>
      <c r="C3" s="1">
        <v>-16.23</v>
      </c>
      <c r="D3" t="s">
        <v>34</v>
      </c>
      <c r="E3" t="s">
        <v>32</v>
      </c>
      <c r="F3" t="s">
        <v>33</v>
      </c>
      <c r="G3" t="s">
        <v>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03141-E07A-4821-9E74-FB9CB80E9DE3}">
  <sheetPr codeName="Sheet4"/>
  <dimension ref="A1:H2"/>
  <sheetViews>
    <sheetView workbookViewId="0"/>
  </sheetViews>
  <sheetFormatPr defaultRowHeight="15" x14ac:dyDescent="0.25"/>
  <cols>
    <col min="1" max="1" width="6.7109375" customWidth="1"/>
    <col min="2" max="2" width="10.7109375" style="2" customWidth="1"/>
    <col min="3" max="3" width="10.7109375" style="1" customWidth="1"/>
    <col min="4" max="4" width="30.7109375" customWidth="1"/>
    <col min="5" max="5" width="25.7109375" customWidth="1"/>
    <col min="6" max="6" width="20.7109375" customWidth="1"/>
    <col min="7" max="7" width="10.28515625" customWidth="1"/>
    <col min="8" max="8" width="40.7109375" customWidth="1"/>
  </cols>
  <sheetData>
    <row r="1" spans="1:8" x14ac:dyDescent="0.25">
      <c r="A1" t="s">
        <v>24</v>
      </c>
      <c r="B1" s="2" t="s">
        <v>25</v>
      </c>
      <c r="C1" s="1" t="s">
        <v>26</v>
      </c>
      <c r="D1" t="s">
        <v>27</v>
      </c>
      <c r="E1" t="s">
        <v>28</v>
      </c>
      <c r="F1" t="s">
        <v>6</v>
      </c>
      <c r="G1" t="s">
        <v>0</v>
      </c>
      <c r="H1" t="s">
        <v>29</v>
      </c>
    </row>
    <row r="2" spans="1:8" x14ac:dyDescent="0.25">
      <c r="A2">
        <v>3</v>
      </c>
      <c r="B2" s="2">
        <v>44999</v>
      </c>
      <c r="C2" s="1">
        <v>-20</v>
      </c>
      <c r="D2" t="s">
        <v>65</v>
      </c>
      <c r="E2" t="s">
        <v>66</v>
      </c>
      <c r="F2" t="s">
        <v>33</v>
      </c>
      <c r="G2" t="s">
        <v>2</v>
      </c>
    </row>
  </sheetData>
  <pageMargins left="0.7" right="0.7" top="0.75" bottom="0.75" header="0.3" footer="0.3"/>
  <tableParts count="1">
    <tablePart r:id="rId1"/>
  </tableParts>
</worksheet>
</file>

<file path=docMetadata/LabelInfo.xml><?xml version="1.0" encoding="utf-8"?>
<clbl:labelList xmlns:clbl="http://schemas.microsoft.com/office/2020/mipLabelMetadata">
  <clbl:label id="{fbb3c382-541a-4789-80ed-24b21ea5b276}" enabled="1" method="Standard" siteId="{8c642d1d-d709-47b0-ab10-080af10798f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Inputs</vt:lpstr>
      <vt:lpstr>Accounts</vt:lpstr>
      <vt:lpstr>2024</vt:lpstr>
      <vt:lpstr>2023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Hardie Parham (TEMA)</dc:creator>
  <cp:lastModifiedBy>Hardie Parham</cp:lastModifiedBy>
  <dcterms:created xsi:type="dcterms:W3CDTF">2024-01-04T15:02:43Z</dcterms:created>
  <dcterms:modified xsi:type="dcterms:W3CDTF">2024-03-15T03:35:52Z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45129d6-6295-4f4f-90bd-13e1d827b914_Enabled">
    <vt:lpwstr>true</vt:lpwstr>
  </property>
  <property fmtid="{D5CDD505-2E9C-101B-9397-08002B2CF9AE}" pid="3" name="MSIP_Label_d45129d6-6295-4f4f-90bd-13e1d827b914_SetDate">
    <vt:lpwstr>2024-01-09T01:19:46Z</vt:lpwstr>
  </property>
  <property fmtid="{D5CDD505-2E9C-101B-9397-08002B2CF9AE}" pid="4" name="MSIP_Label_d45129d6-6295-4f4f-90bd-13e1d827b914_Method">
    <vt:lpwstr>Privileged</vt:lpwstr>
  </property>
  <property fmtid="{D5CDD505-2E9C-101B-9397-08002B2CF9AE}" pid="5" name="MSIP_Label_d45129d6-6295-4f4f-90bd-13e1d827b914_Name">
    <vt:lpwstr>d45129d6-6295-4f4f-90bd-13e1d827b914</vt:lpwstr>
  </property>
  <property fmtid="{D5CDD505-2E9C-101B-9397-08002B2CF9AE}" pid="6" name="MSIP_Label_d45129d6-6295-4f4f-90bd-13e1d827b914_SiteId">
    <vt:lpwstr>52b742d1-3dc2-47ac-bf03-609c83d9df9f</vt:lpwstr>
  </property>
  <property fmtid="{D5CDD505-2E9C-101B-9397-08002B2CF9AE}" pid="7" name="MSIP_Label_d45129d6-6295-4f4f-90bd-13e1d827b914_ActionId">
    <vt:lpwstr>52b60a10-37a7-4e9b-9962-202c6baa54fc</vt:lpwstr>
  </property>
  <property fmtid="{D5CDD505-2E9C-101B-9397-08002B2CF9AE}" pid="8" name="MSIP_Label_d45129d6-6295-4f4f-90bd-13e1d827b914_ContentBits">
    <vt:lpwstr>1</vt:lpwstr>
  </property>
</Properties>
</file>