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897BF082-059E-4F50-AA80-C153265CE0A3}" xr6:coauthVersionLast="47" xr6:coauthVersionMax="47" xr10:uidLastSave="{00000000-0000-0000-0000-000000000000}"/>
  <bookViews>
    <workbookView xWindow="-120" yWindow="-120" windowWidth="38640" windowHeight="21120" xr2:uid="{10A3E4FC-F393-4118-A66A-74FDA3D5938C}"/>
  </bookViews>
  <sheets>
    <sheet name="Inputs" sheetId="2" r:id="rId1"/>
    <sheet name="Accounts" sheetId="7" r:id="rId2"/>
    <sheet name="2024" sheetId="6" r:id="rId3"/>
    <sheet name="2023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G5" i="2"/>
  <c r="I3" i="7"/>
  <c r="H3" i="7"/>
  <c r="G3" i="7"/>
  <c r="F3" i="7"/>
  <c r="E3" i="7"/>
  <c r="D3" i="7"/>
  <c r="J3" i="7" s="1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<sst xmlns="http://schemas.openxmlformats.org/spreadsheetml/2006/main" count="112" uniqueCount="74">
  <si>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</si>
  <si>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</si>
  <si>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</si>
  <si>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</si>
  <si>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</si>
  <si>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</si>
  <si>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</si>
  <si>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</si>
  <si>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</si>
  <si>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</si>
  <si>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</si>
  <si>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</si>
  <si>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</si>
  <si>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</si>
  <si>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</si>
  <si>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Data Tracking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</si>
  <si>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</si>
  <si>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</si>
  <si>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</si>
  <si>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</si>
  <si>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</si>
  <si>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</si>
  <si>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</si>
  <si>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</si>
  <si>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</si>
  <si>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</si>
  <si>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</si>
  <si>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</si>
  <si>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</si>
  <si>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</si>
  <si>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</si>
  <si>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</si>
  <si>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</si>
  <si>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</si>
  <si>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</si>
  <si>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</si>
  <si>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</si>
  <si>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</si>
  <si>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</si>
  <si>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</si>
  <si>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</si>
  <si>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</si>
  <si>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</si>
  <si>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</si>
  <si>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</si>
  <si>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</si>
  <si>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</si>
  <si>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</si>
  <si>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</si>
  <si>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</si>
  <si>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</si>
  <si>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</si>
  <si>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</si>
  <si>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</si>
  <si>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</si>
  <si>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</si>
  <si>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</si>
  <si>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</si>
  <si>
    <t>Net Worth</t>
  </si>
  <si>
    <t>Totals</t>
  </si>
  <si>
    <t>Per Year</t>
  </si>
  <si>
    <t>Per Month</t>
  </si>
  <si>
    <t>INPUTS</t>
  </si>
  <si>
    <t>ADVANCED</t>
  </si>
  <si>
    <t>HELP</t>
  </si>
  <si>
    <t>ADMIN</t>
  </si>
  <si>
    <t>CHARTS ANDSTUFF</t>
  </si>
  <si>
    <t>Data Table</t>
  </si>
  <si>
    <t>Month</t>
  </si>
  <si>
    <t>Year</t>
  </si>
  <si>
    <t>Item</t>
  </si>
  <si>
    <t>Kroger</t>
  </si>
  <si>
    <t>White House, TN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</si>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</sst>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9525</xdr:rowOff>
        </xdr:from>
        <xdr:to>
          <xdr:col>2</xdr:col>
          <xdr:colOff>600075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19050</xdr:rowOff>
        </xdr:from>
        <xdr:to>
          <xdr:col>3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3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9525</xdr:colOff>
          <xdr:row>10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0</xdr:rowOff>
        </xdr:from>
        <xdr:to>
          <xdr:col>3</xdr:col>
          <xdr:colOff>0</xdr:colOff>
          <xdr:row>16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J3:J13" totalsRowShown="0">
  <autoFilter ref="J3:J13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L3:M7" totalsRowShown="0">
  <autoFilter ref="L3:M7" xr:uid="{F7815D4C-44B4-4CFF-A654-C409CE9B6073}"/>
  <tableColumns count="2">
    <tableColumn id="1" xr3:uid="{FE2B00AA-63AB-4AD7-99AB-672B5E615D90}" name="Accounts"/>
    <tableColumn id="2" xr3:uid="{A60D1F01-69E2-422B-A97F-7A877342E24C}" name="Typ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627170-FEDB-4861-BCDD-5FCFC141325C}" name="DataTable" displayName="DataTable" ref="F3:G6" totalsRowShown="0">
  <autoFilter ref="F3:G6" xr:uid="{7B627170-FEDB-4861-BCDD-5FCFC141325C}"/>
  <tableColumns count="2">
    <tableColumn id="1" xr3:uid="{8F0379C7-DE1E-4661-9F99-C9AC0C54FBAD}" name="Item"/>
    <tableColumn id="2" xr3:uid="{044D6FCD-461F-4E6F-81C4-DC62D0465390}" name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Useable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3"/>
    <tableColumn id="3" xr3:uid="{F5761046-F12E-46D6-BF05-24C27D508FFC}" name="Cost" dataDxfId="2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D65076-99D0-4AFE-81E8-B2546B339F8A}" name="Table2023" displayName="Table2023" ref="A1:H2" totalsRowShown="0">
  <autoFilter ref="A1:H2" xr:uid="{37D65076-99D0-4AFE-81E8-B2546B339F8A}"/>
  <tableColumns count="8">
    <tableColumn id="1" xr3:uid="{1342A2FC-B1B7-4100-BB76-03E605F8448E}" name="ID"/>
    <tableColumn id="2" xr3:uid="{FFDF2694-0767-41F3-986A-1DCCD28481AE}" name="Date" dataDxfId="1"/>
    <tableColumn id="3" xr3:uid="{B2C18277-89D5-4B5E-9C78-CCDCE0C7D9FA}" name="Cost" dataDxfId="0"/>
    <tableColumn id="4" xr3:uid="{CFE775D7-A30F-450E-89BA-4DD9690EA2A1}" name="Place"/>
    <tableColumn id="5" xr3:uid="{2B95DD8D-C08A-4B8C-BFFE-1A8964D67F5F}" name="Location"/>
    <tableColumn id="6" xr3:uid="{6EB33E33-674B-4E4F-A90E-833D4C8FE013}" name="Category"/>
    <tableColumn id="7" xr3:uid="{E109C53D-4169-4F96-8E1A-3CFFB03DDCFC}" name="Method"/>
    <tableColumn id="8" xr3:uid="{A4681E5B-FC8B-441C-9A73-90FA04B9C6AB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AI24"/>
  <sheetViews>
    <sheetView tabSelected="1" workbookViewId="0">
      <selection activeCell="O4" sqref="O4"/>
    </sheetView>
  </sheetViews>
  <sheetFormatPr defaultRowHeight="15" x14ac:dyDescent="0.25"/>
  <cols>
    <col min="5" max="5" width="9.140625" customWidth="1"/>
    <col min="6" max="7" width="11" customWidth="1"/>
    <col min="8" max="9" width="9.140625" customWidth="1"/>
    <col min="10" max="10" width="18.140625" customWidth="1"/>
    <col min="11" max="14" width="9.140625" customWidth="1"/>
  </cols>
  <sheetData>
    <row r="1" spans="1:27" ht="15" customHeight="1" x14ac:dyDescent="0.25">
      <c r="A1" s="6" t="s">
        <v>1</v>
      </c>
      <c r="B1" s="6"/>
      <c r="C1" s="6"/>
      <c r="D1" s="6"/>
      <c r="E1" s="5"/>
      <c r="F1" s="7" t="s">
        <v>15</v>
      </c>
      <c r="G1" s="7"/>
      <c r="H1" s="7"/>
      <c r="I1" s="7"/>
      <c r="J1" s="7"/>
      <c r="K1" s="7"/>
      <c r="L1" s="7"/>
      <c r="M1" s="7"/>
      <c r="N1" s="3"/>
    </row>
    <row r="2" spans="1:27" x14ac:dyDescent="0.25">
      <c r="E2" s="4"/>
      <c r="F2" t="s">
        <v>67</v>
      </c>
      <c r="J2" t="s">
        <v>36</v>
      </c>
      <c r="L2" t="s">
        <v>37</v>
      </c>
      <c r="N2" s="3"/>
    </row>
    <row r="3" spans="1:27" x14ac:dyDescent="0.25">
      <c r="E3" s="4"/>
      <c r="F3" t="s">
        <v>70</v>
      </c>
      <c r="G3" t="s">
        <v>73</v>
      </c>
      <c r="J3" t="s">
        <v>6</v>
      </c>
      <c r="L3" t="s">
        <v>18</v>
      </c>
      <c r="M3" t="s">
        <v>16</v>
      </c>
      <c r="N3" s="3"/>
    </row>
    <row r="4" spans="1:27" x14ac:dyDescent="0.25">
      <c r="E4" s="4"/>
      <c r="F4" t="s">
        <v>5</v>
      </c>
      <c r="G4">
        <v>2</v>
      </c>
      <c r="J4" t="s">
        <v>7</v>
      </c>
      <c r="L4" t="s">
        <v>2</v>
      </c>
      <c r="M4" t="s">
        <v>17</v>
      </c>
      <c r="N4" s="3"/>
      <c r="S4" t="s">
        <v>59</v>
      </c>
      <c r="W4" t="s">
        <v>60</v>
      </c>
      <c r="AA4" t="s">
        <v>61</v>
      </c>
    </row>
    <row r="5" spans="1:27" x14ac:dyDescent="0.25">
      <c r="E5" s="4"/>
      <c r="F5" t="s">
        <v>68</v>
      </c>
      <c r="G5">
        <f ca="1">MONTH(TODAY())</f>
        <v>3</v>
      </c>
      <c r="J5" t="s">
        <v>10</v>
      </c>
      <c r="L5" t="s">
        <v>4</v>
      </c>
      <c r="M5" t="s">
        <v>17</v>
      </c>
      <c r="N5" s="3"/>
    </row>
    <row r="6" spans="1:27" x14ac:dyDescent="0.25">
      <c r="E6" s="4"/>
      <c r="F6" t="s">
        <v>69</v>
      </c>
      <c r="G6">
        <f ca="1">YEAR(TODAY())</f>
        <v>2024</v>
      </c>
      <c r="J6" t="s">
        <v>11</v>
      </c>
      <c r="L6" t="s">
        <v>3</v>
      </c>
      <c r="M6" t="s">
        <v>19</v>
      </c>
      <c r="N6" s="3"/>
      <c r="S6" t="s">
        <v>39</v>
      </c>
    </row>
    <row r="7" spans="1:27" x14ac:dyDescent="0.25">
      <c r="E7" s="4"/>
      <c r="J7" t="s">
        <v>12</v>
      </c>
      <c r="L7" t="s">
        <v>24</v>
      </c>
      <c r="M7" t="s">
        <v>19</v>
      </c>
      <c r="N7" s="3"/>
    </row>
    <row r="8" spans="1:27" x14ac:dyDescent="0.25">
      <c r="E8" s="4"/>
      <c r="J8" t="s">
        <v>13</v>
      </c>
      <c r="N8" s="3"/>
    </row>
    <row r="9" spans="1:27" x14ac:dyDescent="0.25">
      <c r="E9" s="4"/>
      <c r="J9" t="s">
        <v>9</v>
      </c>
      <c r="N9" s="3"/>
      <c r="S9" t="s">
        <v>58</v>
      </c>
    </row>
    <row r="10" spans="1:27" x14ac:dyDescent="0.25">
      <c r="E10" s="4"/>
      <c r="J10" t="s">
        <v>8</v>
      </c>
      <c r="N10" s="3"/>
    </row>
    <row r="11" spans="1:27" x14ac:dyDescent="0.25">
      <c r="E11" s="4"/>
      <c r="J11" t="s">
        <v>14</v>
      </c>
      <c r="N11" s="3"/>
    </row>
    <row r="12" spans="1:27" x14ac:dyDescent="0.25">
      <c r="E12" s="4"/>
      <c r="J12" t="s">
        <v>31</v>
      </c>
      <c r="N12" s="3"/>
    </row>
    <row r="13" spans="1:27" x14ac:dyDescent="0.25">
      <c r="E13" s="4"/>
      <c r="J13" t="s">
        <v>34</v>
      </c>
      <c r="N13" s="3"/>
    </row>
    <row r="14" spans="1:27" x14ac:dyDescent="0.25">
      <c r="E14" s="4"/>
      <c r="N14" s="3"/>
    </row>
    <row r="15" spans="1:27" x14ac:dyDescent="0.25">
      <c r="E15" s="4"/>
      <c r="N15" s="3"/>
    </row>
    <row r="16" spans="1:27" x14ac:dyDescent="0.25">
      <c r="E16" s="4"/>
      <c r="N16" s="3"/>
    </row>
    <row r="17" spans="5:35" x14ac:dyDescent="0.25">
      <c r="E17" s="4"/>
      <c r="N17" s="3"/>
    </row>
    <row r="18" spans="5:35" x14ac:dyDescent="0.25">
      <c r="E18" s="4"/>
      <c r="N18" s="3"/>
    </row>
    <row r="19" spans="5:35" x14ac:dyDescent="0.25">
      <c r="E19" s="4"/>
      <c r="N19" s="3"/>
    </row>
    <row r="20" spans="5:35" x14ac:dyDescent="0.25">
      <c r="E20" s="4"/>
      <c r="N20" s="3"/>
      <c r="X20" t="s">
        <v>64</v>
      </c>
      <c r="AA20" t="s">
        <v>62</v>
      </c>
      <c r="AD20" t="s">
        <v>65</v>
      </c>
      <c r="AI20" t="s">
        <v>66</v>
      </c>
    </row>
    <row r="24" spans="5:35" x14ac:dyDescent="0.25">
      <c r="AA24" t="s">
        <v>63</v>
      </c>
    </row>
  </sheetData>
  <mergeCells count="2">
    <mergeCell ref="A1:D1"/>
    <mergeCell ref="F1:M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0</xdr:col>
                    <xdr:colOff>600075</xdr:colOff>
                    <xdr:row>2</xdr:row>
                    <xdr:rowOff>9525</xdr:rowOff>
                  </from>
                  <to>
                    <xdr:col>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3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3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1</xdr:col>
                    <xdr:colOff>9525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3"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workbookViewId="0">
      <selection activeCell="E22" sqref="E22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57</v>
      </c>
      <c r="N1" t="s">
        <v>19</v>
      </c>
      <c r="S1" t="s">
        <v>17</v>
      </c>
      <c r="X1" t="s">
        <v>20</v>
      </c>
      <c r="AC1" t="s">
        <v>22</v>
      </c>
      <c r="AI1" t="s">
        <v>48</v>
      </c>
      <c r="AN1" t="s">
        <v>23</v>
      </c>
      <c r="AS1" t="s">
        <v>38</v>
      </c>
    </row>
    <row r="2" spans="1:48" x14ac:dyDescent="0.25">
      <c r="A2" t="s">
        <v>25</v>
      </c>
      <c r="B2" t="s">
        <v>26</v>
      </c>
      <c r="C2" t="s">
        <v>19</v>
      </c>
      <c r="D2" t="s">
        <v>17</v>
      </c>
      <c r="E2" t="s">
        <v>20</v>
      </c>
      <c r="F2" t="s">
        <v>22</v>
      </c>
      <c r="G2" t="s">
        <v>21</v>
      </c>
      <c r="H2" t="s">
        <v>23</v>
      </c>
      <c r="I2" t="s">
        <v>38</v>
      </c>
      <c r="J2" t="s">
        <v>39</v>
      </c>
      <c r="K2" t="s">
        <v>40</v>
      </c>
      <c r="N2" t="s">
        <v>3</v>
      </c>
      <c r="O2" t="s">
        <v>42</v>
      </c>
      <c r="P2" t="s">
        <v>43</v>
      </c>
      <c r="S2" t="s">
        <v>2</v>
      </c>
      <c r="T2" t="s">
        <v>4</v>
      </c>
      <c r="U2" t="s">
        <v>43</v>
      </c>
      <c r="X2" t="s">
        <v>44</v>
      </c>
      <c r="Y2" t="s">
        <v>45</v>
      </c>
      <c r="Z2" t="s">
        <v>43</v>
      </c>
      <c r="AC2" t="s">
        <v>46</v>
      </c>
      <c r="AD2" t="s">
        <v>47</v>
      </c>
      <c r="AE2" t="s">
        <v>50</v>
      </c>
      <c r="AF2" t="s">
        <v>43</v>
      </c>
      <c r="AI2" t="s">
        <v>49</v>
      </c>
      <c r="AJ2" t="s">
        <v>51</v>
      </c>
      <c r="AK2" t="s">
        <v>43</v>
      </c>
      <c r="AN2" t="s">
        <v>52</v>
      </c>
      <c r="AO2" t="s">
        <v>53</v>
      </c>
      <c r="AP2" t="s">
        <v>43</v>
      </c>
      <c r="AS2" t="s">
        <v>54</v>
      </c>
      <c r="AT2" t="s">
        <v>55</v>
      </c>
      <c r="AU2" t="s">
        <v>56</v>
      </c>
      <c r="AV2" t="s">
        <v>43</v>
      </c>
    </row>
    <row r="3" spans="1:48" x14ac:dyDescent="0.25">
      <c r="A3">
        <v>1</v>
      </c>
      <c r="B3" t="s">
        <v>41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M15" sqref="M15:P24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25</v>
      </c>
      <c r="B1" s="2" t="s">
        <v>26</v>
      </c>
      <c r="C1" s="1" t="s">
        <v>27</v>
      </c>
      <c r="D1" t="s">
        <v>28</v>
      </c>
      <c r="E1" t="s">
        <v>29</v>
      </c>
      <c r="F1" t="s">
        <v>6</v>
      </c>
      <c r="G1" t="s">
        <v>0</v>
      </c>
      <c r="H1" t="s">
        <v>30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32</v>
      </c>
      <c r="E2" t="s">
        <v>33</v>
      </c>
      <c r="F2" t="s">
        <v>31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35</v>
      </c>
      <c r="E3" t="s">
        <v>33</v>
      </c>
      <c r="F3" t="s">
        <v>34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03141-E07A-4821-9E74-FB9CB80E9DE3}">
  <sheetPr codeName="Sheet4"/>
  <dimension ref="A1:H2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25</v>
      </c>
      <c r="B1" s="2" t="s">
        <v>26</v>
      </c>
      <c r="C1" s="1" t="s">
        <v>27</v>
      </c>
      <c r="D1" t="s">
        <v>28</v>
      </c>
      <c r="E1" t="s">
        <v>29</v>
      </c>
      <c r="F1" t="s">
        <v>6</v>
      </c>
      <c r="G1" t="s">
        <v>0</v>
      </c>
      <c r="H1" t="s">
        <v>30</v>
      </c>
    </row>
    <row r="2" spans="1:8" x14ac:dyDescent="0.25">
      <c r="A2">
        <v>3</v>
      </c>
      <c r="B2" s="2">
        <v>44999</v>
      </c>
      <c r="C2" s="1">
        <v>-20</v>
      </c>
      <c r="D2" t="s">
        <v>71</v>
      </c>
      <c r="E2" t="s">
        <v>72</v>
      </c>
      <c r="F2" t="s">
        <v>34</v>
      </c>
      <c r="G2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Accounts</vt:lpstr>
      <vt:lpstr>2024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2024-03-15T02:38:36Z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