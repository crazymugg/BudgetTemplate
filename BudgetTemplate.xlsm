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_Projects\DesktopApps\BudgetTemplate\"/>
    </mc:Choice>
  </mc:AlternateContent>
  <xr:revisionPtr revIDLastSave="0" documentId="13_ncr:1_{03683994-1DB7-4014-AAE7-0823118117BD}" xr6:coauthVersionLast="47" xr6:coauthVersionMax="47" xr10:uidLastSave="{00000000-0000-0000-0000-000000000000}"/>
  <bookViews>
    <workbookView xWindow="4290" yWindow="4290" windowWidth="26835" windowHeight="14580" activeTab="3" xr2:uid="{10A3E4FC-F393-4118-A66A-74FDA3D5938C}"/>
  </bookViews>
  <sheets>
    <sheet name="Overview" sheetId="8" r:id="rId1"/>
    <sheet name="Inputs" sheetId="2" r:id="rId2"/>
    <sheet name="Accounts" sheetId="7" r:id="rId3"/>
    <sheet name="2024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7" l="1"/>
  <c r="H3" i="7"/>
  <c r="G3" i="7"/>
  <c r="F3" i="7"/>
  <c r="E3" i="7"/>
  <c r="D3" i="7"/>
  <c r="J3" i="7" s="1"/>
  <c r="K3" i="7"/>
  <c r="C3" i="7"/>
  <c r="AV3" i="7"/>
  <c r="AP3" i="7"/>
  <c r="AK3" i="7"/>
  <c r="AF3" i="7"/>
  <c r="Z3" i="7"/>
  <c r="U3" i="7"/>
  <c r="P3" i="7"/>
</calcChain>
</file>

<file path=xl/sharedStrings.xml><?xml version="1.0" encoding="utf-8"?>
<sst xmlns="http://schemas.openxmlformats.org/spreadsheetml/2006/main" count="85" uniqueCount="58">
  <si>
    <t>Method</t>
  </si>
  <si>
    <t>User Inputs</t>
  </si>
  <si>
    <t>SW</t>
  </si>
  <si>
    <t>Chase</t>
  </si>
  <si>
    <t>Amex</t>
  </si>
  <si>
    <t>Last ID</t>
  </si>
  <si>
    <t>Category</t>
  </si>
  <si>
    <t>In-Rent</t>
  </si>
  <si>
    <t>Out-Rent</t>
  </si>
  <si>
    <t>In-Other</t>
  </si>
  <si>
    <t>In-Twitch</t>
  </si>
  <si>
    <t>In-Work</t>
  </si>
  <si>
    <t>In-Gifts</t>
  </si>
  <si>
    <t>In-Oil</t>
  </si>
  <si>
    <t>Out-Mortgage</t>
  </si>
  <si>
    <t>Data Tracking</t>
  </si>
  <si>
    <t>Type</t>
  </si>
  <si>
    <t>Credit</t>
  </si>
  <si>
    <t>Accounts</t>
  </si>
  <si>
    <t>Checking</t>
  </si>
  <si>
    <t>Savings</t>
  </si>
  <si>
    <t>Stocks</t>
  </si>
  <si>
    <t>Retirement</t>
  </si>
  <si>
    <t>Loans</t>
  </si>
  <si>
    <t>Deposit</t>
  </si>
  <si>
    <t>ID</t>
  </si>
  <si>
    <t>Date</t>
  </si>
  <si>
    <t>Cost</t>
  </si>
  <si>
    <t>Place</t>
  </si>
  <si>
    <t>Location</t>
  </si>
  <si>
    <t>Notes</t>
  </si>
  <si>
    <t>Out-Business</t>
  </si>
  <si>
    <t>Google Cloud</t>
  </si>
  <si>
    <t>Online</t>
  </si>
  <si>
    <t>Out-Entertainment</t>
  </si>
  <si>
    <t>Spotify</t>
  </si>
  <si>
    <t>Category Table</t>
  </si>
  <si>
    <t>Method Table</t>
  </si>
  <si>
    <t>Assets</t>
  </si>
  <si>
    <t>Useable Total</t>
  </si>
  <si>
    <t>Total</t>
  </si>
  <si>
    <t>2/21/2024</t>
  </si>
  <si>
    <t>Bank of America</t>
  </si>
  <si>
    <t>SubTotal</t>
  </si>
  <si>
    <t>BoA-Savings</t>
  </si>
  <si>
    <t>Chase-Savings</t>
  </si>
  <si>
    <t>MerrylLynch 401k</t>
  </si>
  <si>
    <t>Fidelity 401K</t>
  </si>
  <si>
    <t>Stocks/Betting</t>
  </si>
  <si>
    <t>Bovado</t>
  </si>
  <si>
    <t>RH-401K</t>
  </si>
  <si>
    <t>RobinHood</t>
  </si>
  <si>
    <t>NelNet</t>
  </si>
  <si>
    <t>GreatLakes</t>
  </si>
  <si>
    <t>House</t>
  </si>
  <si>
    <t>Farm</t>
  </si>
  <si>
    <t>Truck</t>
  </si>
  <si>
    <t>Snapshot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</si>
</sst>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numFmt numFmtId="4" formatCode="#,##0.00"/>
    </dxf>
    <dxf>
      <numFmt numFmtId="164" formatCode="[$-409]d/mm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9525</xdr:rowOff>
        </xdr:from>
        <xdr:to>
          <xdr:col>2</xdr:col>
          <xdr:colOff>600075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Cost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19050</xdr:rowOff>
        </xdr:from>
        <xdr:to>
          <xdr:col>3</xdr:col>
          <xdr:colOff>9525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9525</xdr:rowOff>
        </xdr:from>
        <xdr:to>
          <xdr:col>3</xdr:col>
          <xdr:colOff>9525</xdr:colOff>
          <xdr:row>13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Snapshot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9525</xdr:colOff>
          <xdr:row>10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0</xdr:rowOff>
        </xdr:from>
        <xdr:to>
          <xdr:col>3</xdr:col>
          <xdr:colOff>0</xdr:colOff>
          <xdr:row>16</xdr:row>
          <xdr:rowOff>9525</xdr:rowOff>
        </xdr:to>
        <xdr:sp macro="" textlink="">
          <xdr:nvSpPr>
            <xdr:cNvPr id="2056" name="AdminButto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Admin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D4C8BD-E396-4485-9AA0-6A3118B45A3A}" name="CategoryTable" displayName="CategoryTable" ref="H3:H13" totalsRowShown="0">
  <autoFilter ref="H3:H13" xr:uid="{59D4C8BD-E396-4485-9AA0-6A3118B45A3A}"/>
  <tableColumns count="1">
    <tableColumn id="1" xr3:uid="{BB6032D3-9DEC-475E-9D40-14519F290F18}" name="Categor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15D4C-44B4-4CFF-A654-C409CE9B6073}" name="MethodTable" displayName="MethodTable" ref="J3:K7" totalsRowShown="0">
  <autoFilter ref="J3:K7" xr:uid="{F7815D4C-44B4-4CFF-A654-C409CE9B6073}"/>
  <tableColumns count="2">
    <tableColumn id="1" xr3:uid="{FE2B00AA-63AB-4AD7-99AB-672B5E615D90}" name="Accounts"/>
    <tableColumn id="2" xr3:uid="{A60D1F01-69E2-422B-A97F-7A877342E24C}" name="Typ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F2FA5-62C5-4AD1-9020-8C132DF306DA}" name="TotalsTable" displayName="TotalsTable" ref="A2:K3" totalsRowShown="0">
  <autoFilter ref="A2:K3" xr:uid="{F61F2FA5-62C5-4AD1-9020-8C132DF306DA}"/>
  <tableColumns count="11">
    <tableColumn id="1" xr3:uid="{BDCD6CF5-6571-4650-81FB-B8764C6A27D2}" name="ID"/>
    <tableColumn id="2" xr3:uid="{B9EB1A1D-9ABA-4E49-A244-002E3CB80A93}" name="Date"/>
    <tableColumn id="3" xr3:uid="{05F2959D-6F22-4439-B69D-1FD041C1708A}" name="Checking">
      <calculatedColumnFormula>CheckingTable[[#This Row],[SubTotal]]</calculatedColumnFormula>
    </tableColumn>
    <tableColumn id="4" xr3:uid="{28CE6751-A210-4BED-A3B6-6ACED44A7368}" name="Credit">
      <calculatedColumnFormula>CreditTable[[#This Row],[SubTotal]]</calculatedColumnFormula>
    </tableColumn>
    <tableColumn id="5" xr3:uid="{5B28AADB-A648-4AE9-973D-4F02FB953FCB}" name="Savings">
      <calculatedColumnFormula>SavingsTable[[#This Row],[SubTotal]]</calculatedColumnFormula>
    </tableColumn>
    <tableColumn id="6" xr3:uid="{ABD30D39-6205-4856-B42C-51DB30E42D7F}" name="Retirement">
      <calculatedColumnFormula>RetirementTable[[#This Row],[SubTotal]]</calculatedColumnFormula>
    </tableColumn>
    <tableColumn id="7" xr3:uid="{340F857F-D1E1-420B-BD37-2CE7D899DE83}" name="Stocks">
      <calculatedColumnFormula>StocksTable[[#This Row],[SubTotal]]</calculatedColumnFormula>
    </tableColumn>
    <tableColumn id="8" xr3:uid="{C2BEDDAA-75A5-4435-A496-607C500B7977}" name="Loans">
      <calculatedColumnFormula>LoansTable[[#This Row],[SubTotal]]</calculatedColumnFormula>
    </tableColumn>
    <tableColumn id="9" xr3:uid="{54334C91-1F92-4394-AF48-A82DEA5870C5}" name="Assets">
      <calculatedColumnFormula>AssetsTable[[#This Row],[SubTotal]]</calculatedColumnFormula>
    </tableColumn>
    <tableColumn id="10" xr3:uid="{1A859935-3225-4CC1-9020-EF5A50B280A9}" name="Useable Total">
      <calculatedColumnFormula>C3+D3</calculatedColumnFormula>
    </tableColumn>
    <tableColumn id="11" xr3:uid="{E9C2BBD5-1A6E-40AB-BD8B-4A82ED68BB03}" name="Total">
      <calculatedColumnFormula>SUM(C3:I3)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97E13F-B619-4FF6-80E9-9D49C06D695D}" name="CheckingTable" displayName="CheckingTable" ref="N2:P3" totalsRowShown="0">
  <autoFilter ref="N2:P3" xr:uid="{E297E13F-B619-4FF6-80E9-9D49C06D695D}"/>
  <tableColumns count="3">
    <tableColumn id="1" xr3:uid="{4E0888E4-074B-4C16-81FA-4DB4D30D7E79}" name="Chase"/>
    <tableColumn id="2" xr3:uid="{97133EE1-AD5F-4A71-8446-BC3D004C8D4E}" name="Bank of America"/>
    <tableColumn id="3" xr3:uid="{26CE668B-1AF5-4EFE-B269-5A62947A5EF3}" name="SubTotal">
      <calculatedColumnFormula>SUM(N3:O3)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BBFE00-F828-41F6-8310-DBAB9E10A8C4}" name="CreditTable" displayName="CreditTable" ref="S2:U3" totalsRowShown="0">
  <autoFilter ref="S2:U3" xr:uid="{9FBBFE00-F828-41F6-8310-DBAB9E10A8C4}"/>
  <tableColumns count="3">
    <tableColumn id="1" xr3:uid="{67B99585-1755-47CD-87B1-8A738D57B401}" name="SW"/>
    <tableColumn id="2" xr3:uid="{FFBA897E-D56F-4250-A5FC-2BD7F5A02574}" name="Amex"/>
    <tableColumn id="3" xr3:uid="{91CFFEEC-759F-4E3B-8094-2CADA78CED1B}" name="SubTotal">
      <calculatedColumnFormula>SUM(S3:T3)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14ECCA-A39C-44F9-B595-5DCD1A5A2561}" name="SavingsTable" displayName="SavingsTable" ref="X2:Z3" totalsRowShown="0">
  <autoFilter ref="X2:Z3" xr:uid="{6914ECCA-A39C-44F9-B595-5DCD1A5A2561}"/>
  <tableColumns count="3">
    <tableColumn id="1" xr3:uid="{B4AEAAE6-6EC9-4F8F-A0FF-28B347FDFD54}" name="BoA-Savings"/>
    <tableColumn id="2" xr3:uid="{EE39D7F0-58FA-4AA1-B3F5-A39129742FF0}" name="Chase-Savings"/>
    <tableColumn id="3" xr3:uid="{804601C8-9DAC-44B8-BA89-2B8C853445CB}" name="SubTotal">
      <calculatedColumnFormula>SUM(X3:Y3)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2CC386-720E-4A2D-875F-B5F16E75D041}" name="RetirementTable" displayName="RetirementTable" ref="AC2:AF3" totalsRowShown="0">
  <autoFilter ref="AC2:AF3" xr:uid="{E72CC386-720E-4A2D-875F-B5F16E75D041}"/>
  <tableColumns count="4">
    <tableColumn id="1" xr3:uid="{4FF14E7F-2F63-4765-AEFA-21140486D2BE}" name="MerrylLynch 401k"/>
    <tableColumn id="2" xr3:uid="{7FCA744C-5182-483E-922D-BD18D51E1AAA}" name="Fidelity 401K"/>
    <tableColumn id="3" xr3:uid="{DC461885-D0EB-4B3F-8BAA-00B5F3A2F3D3}" name="RH-401K"/>
    <tableColumn id="4" xr3:uid="{83B0432E-4669-422D-877E-A1E1A5801747}" name="SubTotal">
      <calculatedColumnFormula>SUM(AC3:AE3)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96B84-BB1E-4F20-A84A-44118472F6A6}" name="StocksTable" displayName="StocksTable" ref="AI2:AK3" totalsRowShown="0">
  <autoFilter ref="AI2:AK3" xr:uid="{C2D96B84-BB1E-4F20-A84A-44118472F6A6}"/>
  <tableColumns count="3">
    <tableColumn id="1" xr3:uid="{92B000B1-EAA6-4C30-AE2F-196CF4CA0866}" name="Bovado"/>
    <tableColumn id="2" xr3:uid="{2840014B-F7AF-4F75-A077-64B4C56DE78E}" name="RobinHood"/>
    <tableColumn id="3" xr3:uid="{5898EA85-C750-447A-BB0D-10A40B8F9677}" name="SubTotal">
      <calculatedColumnFormula>SUM(AI3:AJ3)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F52C1C-DB06-4F77-B6D0-CF36992CE9FD}" name="LoansTable" displayName="LoansTable" ref="AN2:AP3" totalsRowShown="0">
  <autoFilter ref="AN2:AP3" xr:uid="{BBF52C1C-DB06-4F77-B6D0-CF36992CE9FD}"/>
  <tableColumns count="3">
    <tableColumn id="1" xr3:uid="{296FDCD5-ADE8-424E-9DA7-1C83A15BC25E}" name="NelNet"/>
    <tableColumn id="2" xr3:uid="{ED9A5A8A-AD68-4FA6-A919-EA31F76E838B}" name="GreatLakes"/>
    <tableColumn id="3" xr3:uid="{4941D324-9D84-4051-9837-CB8363D9CA63}" name="SubTotal">
      <calculatedColumnFormula>SUM(AN3:AO3)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261577-FD41-4E3F-AF4E-001C7BEDF2D1}" name="AssetsTable" displayName="AssetsTable" ref="AS2:AV3" totalsRowShown="0">
  <autoFilter ref="AS2:AV3" xr:uid="{2A261577-FD41-4E3F-AF4E-001C7BEDF2D1}"/>
  <tableColumns count="4">
    <tableColumn id="1" xr3:uid="{206B3192-3C08-44DC-AE91-34C2909C35AB}" name="House"/>
    <tableColumn id="2" xr3:uid="{0BEEFBEC-6088-4C0E-8548-4C73EEC6AAE8}" name="Farm"/>
    <tableColumn id="3" xr3:uid="{2E06F300-57D0-4978-886D-2906CE594718}" name="Truck"/>
    <tableColumn id="4" xr3:uid="{043FD250-8606-4D27-A325-AD0D8EB51501}" name="SubTotal">
      <calculatedColumnFormula>SUM(AS3:AU3)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FD51B-7A6A-416C-8C71-C293CB416149}" name="Table2024" displayName="Table2024" ref="A1:H3" totalsRowShown="0">
  <autoFilter ref="A1:H3" xr:uid="{C8AFD51B-7A6A-416C-8C71-C293CB416149}"/>
  <tableColumns count="8">
    <tableColumn id="1" xr3:uid="{34A2D4DD-4AF7-4AD9-BCC1-1C5641ABAA60}" name="ID"/>
    <tableColumn id="2" xr3:uid="{973FD799-F15E-4510-9542-66067387E8C2}" name="Date" dataDxfId="1"/>
    <tableColumn id="3" xr3:uid="{F5761046-F12E-46D6-BF05-24C27D508FFC}" name="Cost" dataDxfId="0"/>
    <tableColumn id="4" xr3:uid="{BB6B0D1C-86A6-4E25-AA36-A3B8D2244412}" name="Place"/>
    <tableColumn id="5" xr3:uid="{4D05A4C0-4354-4555-9186-0AB0425D0DF2}" name="Location"/>
    <tableColumn id="6" xr3:uid="{4A668F66-FD09-4DCE-9681-4C4B1FE476B3}" name="Category"/>
    <tableColumn id="7" xr3:uid="{48D67816-E076-4BEA-94C9-36BFFB06C0BC}" name="Method"/>
    <tableColumn id="8" xr3:uid="{9A920389-E980-4F6F-81FD-503FE69B119D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F7E5F-511D-4656-AE6A-3135D74662EF}">
  <sheetPr codeName="Sheet1"/>
  <dimension ref="A1"/>
  <sheetViews>
    <sheetView workbookViewId="0">
      <selection activeCell="B6" sqref="B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DA6B-81EC-4E0B-8A20-E90F545AC478}">
  <sheetPr codeName="Sheet2"/>
  <dimension ref="A1:L20"/>
  <sheetViews>
    <sheetView workbookViewId="0">
      <selection activeCell="E15" sqref="E15"/>
    </sheetView>
  </sheetViews>
  <sheetFormatPr defaultRowHeight="15" x14ac:dyDescent="0.25"/>
  <cols>
    <col min="5" max="7" width="9.140625" customWidth="1"/>
    <col min="8" max="8" width="18.140625" customWidth="1"/>
    <col min="9" max="12" width="9.140625" customWidth="1"/>
  </cols>
  <sheetData>
    <row r="1" spans="1:12" ht="15" customHeight="1" x14ac:dyDescent="0.25">
      <c r="A1" s="6" t="s">
        <v>1</v>
      </c>
      <c r="B1" s="6"/>
      <c r="C1" s="6"/>
      <c r="D1" s="6"/>
      <c r="E1" s="5"/>
      <c r="F1" s="7" t="s">
        <v>15</v>
      </c>
      <c r="G1" s="7"/>
      <c r="H1" s="7"/>
      <c r="I1" s="7"/>
      <c r="J1" s="7"/>
      <c r="K1" s="7"/>
      <c r="L1" s="3"/>
    </row>
    <row r="2" spans="1:12" x14ac:dyDescent="0.25">
      <c r="E2" s="4"/>
      <c r="H2" t="s">
        <v>36</v>
      </c>
      <c r="J2" t="s">
        <v>37</v>
      </c>
      <c r="L2" s="3"/>
    </row>
    <row r="3" spans="1:12" x14ac:dyDescent="0.25">
      <c r="E3" s="4"/>
      <c r="F3" t="s">
        <v>5</v>
      </c>
      <c r="H3" t="s">
        <v>6</v>
      </c>
      <c r="J3" t="s">
        <v>18</v>
      </c>
      <c r="K3" t="s">
        <v>16</v>
      </c>
      <c r="L3" s="3"/>
    </row>
    <row r="4" spans="1:12" x14ac:dyDescent="0.25">
      <c r="E4" s="4"/>
      <c r="F4">
        <v>2</v>
      </c>
      <c r="H4" t="s">
        <v>7</v>
      </c>
      <c r="J4" t="s">
        <v>2</v>
      </c>
      <c r="K4" t="s">
        <v>17</v>
      </c>
      <c r="L4" s="3"/>
    </row>
    <row r="5" spans="1:12" x14ac:dyDescent="0.25">
      <c r="E5" s="4"/>
      <c r="H5" t="s">
        <v>10</v>
      </c>
      <c r="J5" t="s">
        <v>4</v>
      </c>
      <c r="K5" t="s">
        <v>17</v>
      </c>
      <c r="L5" s="3"/>
    </row>
    <row r="6" spans="1:12" x14ac:dyDescent="0.25">
      <c r="E6" s="4"/>
      <c r="H6" t="s">
        <v>11</v>
      </c>
      <c r="J6" t="s">
        <v>3</v>
      </c>
      <c r="K6" t="s">
        <v>19</v>
      </c>
      <c r="L6" s="3"/>
    </row>
    <row r="7" spans="1:12" x14ac:dyDescent="0.25">
      <c r="E7" s="4"/>
      <c r="H7" t="s">
        <v>12</v>
      </c>
      <c r="J7" t="s">
        <v>24</v>
      </c>
      <c r="K7" t="s">
        <v>19</v>
      </c>
      <c r="L7" s="3"/>
    </row>
    <row r="8" spans="1:12" x14ac:dyDescent="0.25">
      <c r="E8" s="4"/>
      <c r="H8" t="s">
        <v>13</v>
      </c>
      <c r="L8" s="3"/>
    </row>
    <row r="9" spans="1:12" x14ac:dyDescent="0.25">
      <c r="E9" s="4"/>
      <c r="H9" t="s">
        <v>9</v>
      </c>
      <c r="L9" s="3"/>
    </row>
    <row r="10" spans="1:12" x14ac:dyDescent="0.25">
      <c r="E10" s="4"/>
      <c r="H10" t="s">
        <v>8</v>
      </c>
      <c r="L10" s="3"/>
    </row>
    <row r="11" spans="1:12" x14ac:dyDescent="0.25">
      <c r="E11" s="4"/>
      <c r="H11" t="s">
        <v>14</v>
      </c>
      <c r="L11" s="3"/>
    </row>
    <row r="12" spans="1:12" x14ac:dyDescent="0.25">
      <c r="E12" s="4"/>
      <c r="H12" t="s">
        <v>31</v>
      </c>
      <c r="L12" s="3"/>
    </row>
    <row r="13" spans="1:12" x14ac:dyDescent="0.25">
      <c r="E13" s="4"/>
      <c r="H13" t="s">
        <v>34</v>
      </c>
      <c r="L13" s="3"/>
    </row>
    <row r="14" spans="1:12" x14ac:dyDescent="0.25">
      <c r="E14" s="4"/>
      <c r="L14" s="3"/>
    </row>
    <row r="15" spans="1:12" x14ac:dyDescent="0.25">
      <c r="E15" s="4"/>
      <c r="L15" s="3"/>
    </row>
    <row r="16" spans="1:12" x14ac:dyDescent="0.25">
      <c r="E16" s="4"/>
      <c r="L16" s="3"/>
    </row>
    <row r="17" spans="5:12" x14ac:dyDescent="0.25">
      <c r="E17" s="4"/>
      <c r="L17" s="3"/>
    </row>
    <row r="18" spans="5:12" x14ac:dyDescent="0.25">
      <c r="E18" s="4"/>
      <c r="L18" s="3"/>
    </row>
    <row r="19" spans="5:12" x14ac:dyDescent="0.25">
      <c r="E19" s="4"/>
      <c r="L19" s="3"/>
    </row>
    <row r="20" spans="5:12" x14ac:dyDescent="0.25">
      <c r="E20" s="4"/>
      <c r="L20" s="3"/>
    </row>
  </sheetData>
  <mergeCells count="2">
    <mergeCell ref="A1:D1"/>
    <mergeCell ref="F1:K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CostEntryForm">
                <anchor moveWithCells="1">
                  <from>
                    <xdr:col>0</xdr:col>
                    <xdr:colOff>600075</xdr:colOff>
                    <xdr:row>2</xdr:row>
                    <xdr:rowOff>9525</xdr:rowOff>
                  </from>
                  <to>
                    <xdr:col>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owNewYearForm">
                <anchor moveWithCells="1">
                  <from>
                    <xdr:col>1</xdr:col>
                    <xdr:colOff>0</xdr:colOff>
                    <xdr:row>5</xdr:row>
                    <xdr:rowOff>19050</xdr:rowOff>
                  </from>
                  <to>
                    <xdr:col>3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laceholder">
                <anchor moveWithCells="1" sizeWithCells="1">
                  <from>
                    <xdr:col>1</xdr:col>
                    <xdr:colOff>9525</xdr:colOff>
                    <xdr:row>11</xdr:row>
                    <xdr:rowOff>9525</xdr:rowOff>
                  </from>
                  <to>
                    <xdr:col>3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laceholder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AdminButton">
              <controlPr defaultSize="0" print="0" autoFill="0" autoPict="0" macro="[0]!ShowAdmin">
                <anchor moveWithCells="1" sizeWithCells="1">
                  <from>
                    <xdr:col>1</xdr:col>
                    <xdr:colOff>9525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68-E9D7-478C-BFC9-E2609AEFED30}">
  <sheetPr codeName="Sheet6"/>
  <dimension ref="A1:AV3"/>
  <sheetViews>
    <sheetView workbookViewId="0">
      <selection activeCell="E22" sqref="E22"/>
    </sheetView>
  </sheetViews>
  <sheetFormatPr defaultRowHeight="15" x14ac:dyDescent="0.25"/>
  <cols>
    <col min="3" max="3" width="11.140625" customWidth="1"/>
    <col min="5" max="5" width="9.7109375" customWidth="1"/>
    <col min="6" max="6" width="13.28515625" customWidth="1"/>
    <col min="10" max="10" width="15.28515625" customWidth="1"/>
    <col min="15" max="15" width="17.42578125" customWidth="1"/>
    <col min="16" max="16" width="10.85546875" customWidth="1"/>
    <col min="21" max="21" width="10.85546875" customWidth="1"/>
    <col min="24" max="24" width="14" customWidth="1"/>
    <col min="25" max="25" width="15.7109375" customWidth="1"/>
    <col min="26" max="26" width="10.85546875" customWidth="1"/>
    <col min="29" max="29" width="18.5703125" customWidth="1"/>
    <col min="30" max="30" width="14.42578125" customWidth="1"/>
    <col min="31" max="31" width="10.42578125" customWidth="1"/>
    <col min="32" max="32" width="10.85546875" customWidth="1"/>
    <col min="35" max="35" width="9.7109375" customWidth="1"/>
    <col min="36" max="36" width="13" customWidth="1"/>
    <col min="37" max="37" width="10.85546875" customWidth="1"/>
    <col min="40" max="40" width="9.5703125" customWidth="1"/>
    <col min="41" max="41" width="13" customWidth="1"/>
    <col min="42" max="42" width="10.85546875" customWidth="1"/>
    <col min="48" max="48" width="10.85546875" customWidth="1"/>
  </cols>
  <sheetData>
    <row r="1" spans="1:48" x14ac:dyDescent="0.25">
      <c r="A1" t="s">
        <v>57</v>
      </c>
      <c r="N1" t="s">
        <v>19</v>
      </c>
      <c r="S1" t="s">
        <v>17</v>
      </c>
      <c r="X1" t="s">
        <v>20</v>
      </c>
      <c r="AC1" t="s">
        <v>22</v>
      </c>
      <c r="AI1" t="s">
        <v>48</v>
      </c>
      <c r="AN1" t="s">
        <v>23</v>
      </c>
      <c r="AS1" t="s">
        <v>38</v>
      </c>
    </row>
    <row r="2" spans="1:48" x14ac:dyDescent="0.25">
      <c r="A2" t="s">
        <v>25</v>
      </c>
      <c r="B2" t="s">
        <v>26</v>
      </c>
      <c r="C2" t="s">
        <v>19</v>
      </c>
      <c r="D2" t="s">
        <v>17</v>
      </c>
      <c r="E2" t="s">
        <v>20</v>
      </c>
      <c r="F2" t="s">
        <v>22</v>
      </c>
      <c r="G2" t="s">
        <v>21</v>
      </c>
      <c r="H2" t="s">
        <v>23</v>
      </c>
      <c r="I2" t="s">
        <v>38</v>
      </c>
      <c r="J2" t="s">
        <v>39</v>
      </c>
      <c r="K2" t="s">
        <v>40</v>
      </c>
      <c r="N2" t="s">
        <v>3</v>
      </c>
      <c r="O2" t="s">
        <v>42</v>
      </c>
      <c r="P2" t="s">
        <v>43</v>
      </c>
      <c r="S2" t="s">
        <v>2</v>
      </c>
      <c r="T2" t="s">
        <v>4</v>
      </c>
      <c r="U2" t="s">
        <v>43</v>
      </c>
      <c r="X2" t="s">
        <v>44</v>
      </c>
      <c r="Y2" t="s">
        <v>45</v>
      </c>
      <c r="Z2" t="s">
        <v>43</v>
      </c>
      <c r="AC2" t="s">
        <v>46</v>
      </c>
      <c r="AD2" t="s">
        <v>47</v>
      </c>
      <c r="AE2" t="s">
        <v>50</v>
      </c>
      <c r="AF2" t="s">
        <v>43</v>
      </c>
      <c r="AI2" t="s">
        <v>49</v>
      </c>
      <c r="AJ2" t="s">
        <v>51</v>
      </c>
      <c r="AK2" t="s">
        <v>43</v>
      </c>
      <c r="AN2" t="s">
        <v>52</v>
      </c>
      <c r="AO2" t="s">
        <v>53</v>
      </c>
      <c r="AP2" t="s">
        <v>43</v>
      </c>
      <c r="AS2" t="s">
        <v>54</v>
      </c>
      <c r="AT2" t="s">
        <v>55</v>
      </c>
      <c r="AU2" t="s">
        <v>56</v>
      </c>
      <c r="AV2" t="s">
        <v>43</v>
      </c>
    </row>
    <row r="3" spans="1:48" x14ac:dyDescent="0.25">
      <c r="A3">
        <v>1</v>
      </c>
      <c r="B3" t="s">
        <v>41</v>
      </c>
      <c r="C3">
        <f>CheckingTable[[#This Row],[SubTotal]]</f>
        <v>1000</v>
      </c>
      <c r="D3">
        <f>CreditTable[[#This Row],[SubTotal]]</f>
        <v>-500</v>
      </c>
      <c r="E3">
        <f>SavingsTable[[#This Row],[SubTotal]]</f>
        <v>10000</v>
      </c>
      <c r="F3">
        <f>RetirementTable[[#This Row],[SubTotal]]</f>
        <v>15000</v>
      </c>
      <c r="G3">
        <f>StocksTable[[#This Row],[SubTotal]]</f>
        <v>5000</v>
      </c>
      <c r="H3">
        <f>LoansTable[[#This Row],[SubTotal]]</f>
        <v>-2000</v>
      </c>
      <c r="I3">
        <f>AssetsTable[[#This Row],[SubTotal]]</f>
        <v>50000</v>
      </c>
      <c r="J3">
        <f>C3+D3</f>
        <v>500</v>
      </c>
      <c r="K3">
        <f>SUM(C3:I3)</f>
        <v>78500</v>
      </c>
      <c r="N3">
        <v>500</v>
      </c>
      <c r="O3">
        <v>500</v>
      </c>
      <c r="P3">
        <f>SUM(N3:O3)</f>
        <v>1000</v>
      </c>
      <c r="S3">
        <v>-300</v>
      </c>
      <c r="T3">
        <v>-200</v>
      </c>
      <c r="U3">
        <f>SUM(S3:T3)</f>
        <v>-500</v>
      </c>
      <c r="X3">
        <v>1000</v>
      </c>
      <c r="Y3">
        <v>9000</v>
      </c>
      <c r="Z3">
        <f>SUM(X3:Y3)</f>
        <v>10000</v>
      </c>
      <c r="AC3">
        <v>4000</v>
      </c>
      <c r="AD3">
        <v>10000</v>
      </c>
      <c r="AE3">
        <v>1000</v>
      </c>
      <c r="AF3">
        <f>SUM(AC3:AE3)</f>
        <v>15000</v>
      </c>
      <c r="AI3">
        <v>0</v>
      </c>
      <c r="AJ3">
        <v>5000</v>
      </c>
      <c r="AK3">
        <f>SUM(AI3:AJ3)</f>
        <v>5000</v>
      </c>
      <c r="AN3">
        <v>-500</v>
      </c>
      <c r="AO3">
        <v>-1500</v>
      </c>
      <c r="AP3">
        <f>SUM(AN3:AO3)</f>
        <v>-2000</v>
      </c>
      <c r="AS3">
        <v>40000</v>
      </c>
      <c r="AT3">
        <v>9000</v>
      </c>
      <c r="AU3">
        <v>1000</v>
      </c>
      <c r="AV3">
        <f>SUM(AS3:AU3)</f>
        <v>50000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ABEF0-8B62-4CA4-B7B0-C760F246A94B}">
  <sheetPr codeName="Sheet5"/>
  <dimension ref="A1:H3"/>
  <sheetViews>
    <sheetView tabSelected="1" workbookViewId="0">
      <selection activeCell="D12" sqref="D12"/>
    </sheetView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25</v>
      </c>
      <c r="B1" s="2" t="s">
        <v>26</v>
      </c>
      <c r="C1" s="1" t="s">
        <v>27</v>
      </c>
      <c r="D1" t="s">
        <v>28</v>
      </c>
      <c r="E1" t="s">
        <v>29</v>
      </c>
      <c r="F1" t="s">
        <v>6</v>
      </c>
      <c r="G1" t="s">
        <v>0</v>
      </c>
      <c r="H1" t="s">
        <v>30</v>
      </c>
    </row>
    <row r="2" spans="1:8" x14ac:dyDescent="0.25">
      <c r="A2">
        <v>1</v>
      </c>
      <c r="B2" s="2">
        <v>45292</v>
      </c>
      <c r="C2" s="1">
        <v>-19.059999999999999</v>
      </c>
      <c r="D2" t="s">
        <v>32</v>
      </c>
      <c r="E2" t="s">
        <v>33</v>
      </c>
      <c r="F2" t="s">
        <v>31</v>
      </c>
      <c r="G2" t="s">
        <v>2</v>
      </c>
    </row>
    <row r="3" spans="1:8" x14ac:dyDescent="0.25">
      <c r="A3">
        <v>2</v>
      </c>
      <c r="B3" s="2">
        <v>45292</v>
      </c>
      <c r="C3" s="1">
        <v>-16.23</v>
      </c>
      <c r="D3" t="s">
        <v>35</v>
      </c>
      <c r="E3" t="s">
        <v>33</v>
      </c>
      <c r="F3" t="s">
        <v>34</v>
      </c>
      <c r="G3" t="s">
        <v>2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bb3c382-541a-4789-80ed-24b21ea5b276}" enabled="1" method="Standard" siteId="{8c642d1d-d709-47b0-ab10-080af10798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Inputs</vt:lpstr>
      <vt:lpstr>Accounts</vt:lpstr>
      <vt:lpstr>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Hardie Parham (TEMA)</dc:creator>
  <cp:lastModifiedBy>Hardie Parham</cp:lastModifiedBy>
  <dcterms:created xsi:type="dcterms:W3CDTF">2024-01-04T15:02:43Z</dcterms:created>
  <dcterms:modified xsi:type="dcterms:W3CDTF">2024-02-22T05:32:38Z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45129d6-6295-4f4f-90bd-13e1d827b914_Enabled">
    <vt:lpwstr>true</vt:lpwstr>
  </property>
  <property fmtid="{D5CDD505-2E9C-101B-9397-08002B2CF9AE}" pid="3" name="MSIP_Label_d45129d6-6295-4f4f-90bd-13e1d827b914_SetDate">
    <vt:lpwstr>2024-01-09T01:19:46Z</vt:lpwstr>
  </property>
  <property fmtid="{D5CDD505-2E9C-101B-9397-08002B2CF9AE}" pid="4" name="MSIP_Label_d45129d6-6295-4f4f-90bd-13e1d827b914_Method">
    <vt:lpwstr>Privileged</vt:lpwstr>
  </property>
  <property fmtid="{D5CDD505-2E9C-101B-9397-08002B2CF9AE}" pid="5" name="MSIP_Label_d45129d6-6295-4f4f-90bd-13e1d827b914_Name">
    <vt:lpwstr>d45129d6-6295-4f4f-90bd-13e1d827b914</vt:lpwstr>
  </property>
  <property fmtid="{D5CDD505-2E9C-101B-9397-08002B2CF9AE}" pid="6" name="MSIP_Label_d45129d6-6295-4f4f-90bd-13e1d827b914_SiteId">
    <vt:lpwstr>52b742d1-3dc2-47ac-bf03-609c83d9df9f</vt:lpwstr>
  </property>
  <property fmtid="{D5CDD505-2E9C-101B-9397-08002B2CF9AE}" pid="7" name="MSIP_Label_d45129d6-6295-4f4f-90bd-13e1d827b914_ActionId">
    <vt:lpwstr>52b60a10-37a7-4e9b-9962-202c6baa54fc</vt:lpwstr>
  </property>
  <property fmtid="{D5CDD505-2E9C-101B-9397-08002B2CF9AE}" pid="8" name="MSIP_Label_d45129d6-6295-4f4f-90bd-13e1d827b914_ContentBits">
    <vt:lpwstr>1</vt:lpwstr>
  </property>
</Properties>
</file>